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Process &amp; Deadlines" sheetId="3" state="visible" r:id="rId3"/>
    <sheet xmlns:r="http://schemas.openxmlformats.org/officeDocument/2006/relationships" name="Revision Tracker" sheetId="4" state="visible" r:id="rId4"/>
    <sheet xmlns:r="http://schemas.openxmlformats.org/officeDocument/2006/relationships" name="Master Matrix" sheetId="5" state="visible" r:id="rId5"/>
    <sheet xmlns:r="http://schemas.openxmlformats.org/officeDocument/2006/relationships" name="Juror Log" sheetId="6" state="visible" r:id="rId6"/>
    <sheet xmlns:r="http://schemas.openxmlformats.org/officeDocument/2006/relationships" name="Director Guidance" sheetId="7" state="visible" r:id="rId7"/>
    <sheet xmlns:r="http://schemas.openxmlformats.org/officeDocument/2006/relationships" name="Overlap Map" sheetId="8" state="visible" r:id="rId8"/>
    <sheet xmlns:r="http://schemas.openxmlformats.org/officeDocument/2006/relationships" name="Action Sequence" sheetId="9" state="visible" r:id="rId9"/>
    <sheet xmlns:r="http://schemas.openxmlformats.org/officeDocument/2006/relationships" name="Estimation Plan" sheetId="10" state="visible" r:id="rId10"/>
    <sheet xmlns:r="http://schemas.openxmlformats.org/officeDocument/2006/relationships" name="v4 Change Log" sheetId="11" state="visible" r:id="rId11"/>
    <sheet xmlns:r="http://schemas.openxmlformats.org/officeDocument/2006/relationships" name="v5 Change Log" sheetId="12" state="visible" r:id="rId12"/>
    <sheet xmlns:r="http://schemas.openxmlformats.org/officeDocument/2006/relationships" name="v6 Change Log" sheetId="13" state="visible" r:id="rId13"/>
    <sheet xmlns:r="http://schemas.openxmlformats.org/officeDocument/2006/relationships" name="v7 Change Log" sheetId="14" state="visible" r:id="rId14"/>
    <sheet xmlns:r="http://schemas.openxmlformats.org/officeDocument/2006/relationships" name="v8 Change Log" sheetId="15" state="visible" r:id="rId15"/>
    <sheet xmlns:r="http://schemas.openxmlformats.org/officeDocument/2006/relationships" name="v9 Change Log" sheetId="16" state="visible" r:id="rId16"/>
    <sheet xmlns:r="http://schemas.openxmlformats.org/officeDocument/2006/relationships" name="v10 Change Log" sheetId="17" state="visible" r:id="rId17"/>
    <sheet xmlns:r="http://schemas.openxmlformats.org/officeDocument/2006/relationships" name="v11 Change Log" sheetId="18" state="visible" r:id="rId18"/>
    <sheet xmlns:r="http://schemas.openxmlformats.org/officeDocument/2006/relationships" name="v12 Change Log" sheetId="19" state="visible" r:id="rId19"/>
    <sheet xmlns:r="http://schemas.openxmlformats.org/officeDocument/2006/relationships" name="v13 Change Log" sheetId="20" state="visible" r:id="rId20"/>
    <sheet xmlns:r="http://schemas.openxmlformats.org/officeDocument/2006/relationships" name="v14 Change Log" sheetId="21" state="visible" r:id="rId21"/>
    <sheet xmlns:r="http://schemas.openxmlformats.org/officeDocument/2006/relationships" name="v15 Change Log" sheetId="22" state="visible" r:id="rId22"/>
    <sheet xmlns:r="http://schemas.openxmlformats.org/officeDocument/2006/relationships" name="v16 Change Log" sheetId="23" state="visible" r:id="rId23"/>
    <sheet xmlns:r="http://schemas.openxmlformats.org/officeDocument/2006/relationships" name="v17 Change Log" sheetId="24" state="visible" r:id="rId24"/>
    <sheet xmlns:r="http://schemas.openxmlformats.org/officeDocument/2006/relationships" name="v18 Change Log" sheetId="25" state="visible" r:id="rId25"/>
    <sheet xmlns:r="http://schemas.openxmlformats.org/officeDocument/2006/relationships" name="v19 Change Log" sheetId="26" state="visible" r:id="rId26"/>
    <sheet xmlns:r="http://schemas.openxmlformats.org/officeDocument/2006/relationships" name="v20 Change Log" sheetId="27" state="visible" r:id="rId27"/>
    <sheet xmlns:r="http://schemas.openxmlformats.org/officeDocument/2006/relationships" name="v21 Change Log" sheetId="28" state="visible" r:id="rId28"/>
    <sheet xmlns:r="http://schemas.openxmlformats.org/officeDocument/2006/relationships" name="v22 Change Log" sheetId="29" state="visible" r:id="rId29"/>
    <sheet xmlns:r="http://schemas.openxmlformats.org/officeDocument/2006/relationships" name="v23 Change Log" sheetId="30" state="visible" r:id="rId30"/>
    <sheet xmlns:r="http://schemas.openxmlformats.org/officeDocument/2006/relationships" name="v24 Change Log" sheetId="31" state="visible" r:id="rId31"/>
    <sheet xmlns:r="http://schemas.openxmlformats.org/officeDocument/2006/relationships" name="v25 Change Log" sheetId="32" state="visible" r:id="rId32"/>
    <sheet xmlns:r="http://schemas.openxmlformats.org/officeDocument/2006/relationships" name="v26 Change Log" sheetId="33" state="visible" r:id="rId33"/>
    <sheet xmlns:r="http://schemas.openxmlformats.org/officeDocument/2006/relationships" name="v27 Change Log" sheetId="34" state="visible" r:id="rId34"/>
    <sheet xmlns:r="http://schemas.openxmlformats.org/officeDocument/2006/relationships" name="v28 Change Log" sheetId="35" state="visible" r:id="rId35"/>
    <sheet xmlns:r="http://schemas.openxmlformats.org/officeDocument/2006/relationships" name="v29 Change Log" sheetId="36" state="visible" r:id="rId36"/>
    <sheet xmlns:r="http://schemas.openxmlformats.org/officeDocument/2006/relationships" name="v30 Change Log" sheetId="37" state="visible" r:id="rId37"/>
  </sheets>
  <definedNames/>
  <calcPr calcId="124519" calcMode="auto" fullCalcOnLoad="1" forceFullCalc="1"/>
</workbook>
</file>

<file path=xl/styles.xml><?xml version="1.0" encoding="utf-8"?>
<styleSheet xmlns="http://schemas.openxmlformats.org/spreadsheetml/2006/main">
  <numFmts count="1">
    <numFmt numFmtId="164" formatCode="dd\-mmm\-yyyy"/>
  </numFmts>
  <fonts count="16">
    <font>
      <name val="Calibri"/>
      <color theme="1"/>
      <sz val="11"/>
    </font>
    <font>
      <name val="Calibri"/>
      <b val="1"/>
      <color rgb="FFFFFFFF"/>
      <sz val="16"/>
    </font>
    <font>
      <name val="Calibri"/>
      <i val="1"/>
      <color rgb="FF595959"/>
      <sz val="10"/>
    </font>
    <font>
      <name val="Calibri"/>
      <b val="1"/>
      <color rgb="FFFFFFFF"/>
      <sz val="11"/>
    </font>
    <font>
      <name val="Calibri"/>
      <b val="1"/>
      <color rgb="FF1F4E78"/>
      <sz val="11"/>
    </font>
    <font>
      <name val="Calibri"/>
      <b val="1"/>
      <color rgb="FFFFFFFF"/>
      <sz val="10"/>
    </font>
    <font>
      <name val="Calibri"/>
      <color rgb="FF000000"/>
      <sz val="9"/>
    </font>
    <font>
      <name val="Calibri"/>
      <b val="1"/>
      <color rgb="FF000000"/>
      <sz val="11"/>
    </font>
    <font>
      <name val="Calibri"/>
      <b val="1"/>
      <sz val="11"/>
    </font>
    <font>
      <name val="Calibri"/>
      <i val="1"/>
      <color rgb="FF666666"/>
      <sz val="9"/>
    </font>
    <font>
      <name val="Calibri"/>
      <b val="1"/>
      <color rgb="FF0000FF"/>
      <sz val="11"/>
    </font>
    <font>
      <name val="Calibri"/>
      <color rgb="FF0000FF"/>
      <sz val="11"/>
    </font>
    <font>
      <name val="Calibri"/>
      <b val="1"/>
      <color rgb="FF000000"/>
      <sz val="11"/>
    </font>
    <font>
      <name val="Calibri"/>
      <color rgb="FF008000"/>
      <sz val="9"/>
    </font>
    <font>
      <name val="Calibri"/>
      <b val="1"/>
      <sz val="11"/>
    </font>
    <font>
      <name val="Calibri"/>
      <b val="1"/>
      <color rgb="FFC00000"/>
      <sz val="11"/>
    </font>
  </fonts>
  <fills count="13">
    <fill>
      <patternFill/>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FFF2CC"/>
      </patternFill>
    </fill>
    <fill>
      <patternFill patternType="solid">
        <fgColor rgb="FFDDEBF7"/>
      </patternFill>
    </fill>
    <fill>
      <patternFill patternType="solid">
        <fgColor rgb="FFF4CCCC"/>
      </patternFill>
    </fill>
    <fill>
      <patternFill patternType="solid">
        <fgColor rgb="FFFCE4D6"/>
      </patternFill>
    </fill>
    <fill>
      <patternFill patternType="solid">
        <fgColor rgb="FFE2F0D9"/>
      </patternFill>
    </fill>
    <fill>
      <patternFill patternType="solid">
        <fgColor rgb="FFE4DFEC"/>
      </patternFill>
    </fill>
    <fill>
      <patternFill patternType="solid">
        <fgColor rgb="FFC00000"/>
      </patternFill>
    </fill>
  </fills>
  <borders count="7">
    <border/>
    <border>
      <bottom style="medium">
        <color rgb="FF1F4E78"/>
      </bottom>
    </border>
    <border>
      <bottom style="thin">
        <color rgb="FFD9E1F2"/>
      </bottom>
    </border>
    <border>
      <bottom style="medium">
        <color rgb="FF1F4E78"/>
      </bottom>
    </border>
    <border>
      <bottom style="thin">
        <color rgb="FFD9E1F2"/>
      </bottom>
    </border>
    <border>
      <bottom style="thin">
        <color rgb="FFD9E1F2"/>
      </bottom>
    </border>
    <border>
      <bottom style="medium">
        <color rgb="FF1F4E78"/>
      </bottom>
    </border>
  </borders>
  <cellStyleXfs count="1">
    <xf numFmtId="0" fontId="0" fillId="0" borderId="0"/>
  </cellStyleXfs>
  <cellXfs count="60">
    <xf numFmtId="0" fontId="0" fillId="0" borderId="0" pivotButton="0" quotePrefix="0" xfId="0"/>
    <xf numFmtId="0" fontId="4" fillId="0" borderId="0" pivotButton="0" quotePrefix="0" xfId="0"/>
    <xf numFmtId="0" fontId="0" fillId="0" borderId="0" applyAlignment="1" pivotButton="0" quotePrefix="0" xfId="0">
      <alignment vertical="top" wrapText="1"/>
    </xf>
    <xf numFmtId="0" fontId="5" fillId="5" borderId="1" applyAlignment="1" pivotButton="0" quotePrefix="0" xfId="0">
      <alignment horizontal="center" vertical="center" wrapText="1"/>
    </xf>
    <xf numFmtId="0" fontId="6" fillId="0" borderId="2" applyAlignment="1" pivotButton="0" quotePrefix="0" xfId="0">
      <alignment vertical="top" wrapText="1"/>
    </xf>
    <xf numFmtId="0" fontId="7" fillId="0" borderId="2" applyAlignment="1" pivotButton="0" quotePrefix="0" xfId="0">
      <alignment vertical="top" wrapText="1"/>
    </xf>
    <xf numFmtId="0" fontId="8" fillId="0" borderId="0" applyAlignment="1" pivotButton="0" quotePrefix="0" xfId="0">
      <alignment vertical="top" wrapText="1"/>
    </xf>
    <xf numFmtId="9" fontId="8" fillId="0" borderId="0" applyAlignment="1" pivotButton="0" quotePrefix="0" xfId="0">
      <alignment vertical="top" wrapText="1"/>
    </xf>
    <xf numFmtId="0" fontId="6" fillId="7" borderId="2" applyAlignment="1" pivotButton="0" quotePrefix="0" xfId="0">
      <alignment vertical="top" wrapText="1"/>
    </xf>
    <xf numFmtId="0" fontId="10" fillId="6" borderId="2" applyAlignment="1" pivotButton="0" quotePrefix="0" xfId="0">
      <alignment vertical="top" wrapText="1"/>
    </xf>
    <xf numFmtId="0" fontId="11" fillId="6" borderId="2" applyAlignment="1" pivotButton="0" quotePrefix="0" xfId="0">
      <alignment vertical="top" wrapText="1"/>
    </xf>
    <xf numFmtId="0" fontId="12" fillId="8" borderId="2" applyAlignment="1" pivotButton="0" quotePrefix="0" xfId="0">
      <alignment vertical="top" wrapText="1"/>
    </xf>
    <xf numFmtId="0" fontId="13" fillId="0" borderId="2" applyAlignment="1" pivotButton="0" quotePrefix="0" xfId="0">
      <alignment vertical="top" wrapText="1"/>
    </xf>
    <xf numFmtId="0" fontId="12" fillId="9" borderId="2" applyAlignment="1" pivotButton="0" quotePrefix="0" xfId="0">
      <alignment vertical="top" wrapText="1"/>
    </xf>
    <xf numFmtId="0" fontId="13" fillId="7" borderId="2" applyAlignment="1" pivotButton="0" quotePrefix="0" xfId="0">
      <alignment vertical="top" wrapText="1"/>
    </xf>
    <xf numFmtId="0" fontId="12" fillId="10" borderId="2" applyAlignment="1" pivotButton="0" quotePrefix="0" xfId="0">
      <alignment vertical="top" wrapText="1"/>
    </xf>
    <xf numFmtId="0" fontId="12" fillId="6" borderId="2" applyAlignment="1" pivotButton="0" quotePrefix="0" xfId="0">
      <alignment vertical="top" wrapText="1"/>
    </xf>
    <xf numFmtId="0" fontId="14" fillId="3" borderId="2" applyAlignment="1" pivotButton="0" quotePrefix="0" xfId="0">
      <alignment vertical="top" wrapText="1"/>
    </xf>
    <xf numFmtId="0" fontId="14" fillId="7" borderId="2" applyAlignment="1" pivotButton="0" quotePrefix="0" xfId="0">
      <alignment vertical="top" wrapText="1"/>
    </xf>
    <xf numFmtId="0" fontId="14" fillId="11" borderId="2" applyAlignment="1" pivotButton="0" quotePrefix="0" xfId="0">
      <alignment vertical="top" wrapText="1"/>
    </xf>
    <xf numFmtId="0" fontId="15" fillId="6" borderId="2" applyAlignment="1" pivotButton="0" quotePrefix="0" xfId="0">
      <alignment vertical="top" wrapText="1"/>
    </xf>
    <xf numFmtId="0" fontId="6" fillId="6" borderId="2" applyAlignment="1" pivotButton="0" quotePrefix="0" xfId="0">
      <alignment vertical="top" wrapText="1"/>
    </xf>
    <xf numFmtId="0" fontId="5" fillId="12" borderId="1" applyAlignment="1" pivotButton="0" quotePrefix="0" xfId="0">
      <alignment horizontal="center" vertical="center" wrapText="1"/>
    </xf>
    <xf numFmtId="0" fontId="15" fillId="0" borderId="2" applyAlignment="1" pivotButton="0" quotePrefix="0" xfId="0">
      <alignment vertical="top" wrapText="1"/>
    </xf>
    <xf numFmtId="0" fontId="0" fillId="0" borderId="4" pivotButton="0" quotePrefix="0" xfId="0"/>
    <xf numFmtId="0" fontId="6" fillId="0" borderId="5"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vertical="top" wrapText="1"/>
    </xf>
    <xf numFmtId="0" fontId="5" fillId="5" borderId="6" applyAlignment="1" pivotButton="0" quotePrefix="0" xfId="0">
      <alignment horizontal="center" vertical="top" wrapText="1"/>
    </xf>
    <xf numFmtId="0" fontId="0" fillId="0" borderId="3" applyAlignment="1" pivotButton="0" quotePrefix="0" xfId="0">
      <alignment horizontal="left" vertical="top" wrapText="1"/>
    </xf>
    <xf numFmtId="0" fontId="6" fillId="0" borderId="2" applyAlignment="1" pivotButton="0" quotePrefix="0" xfId="0">
      <alignment horizontal="left" vertical="top" wrapText="1"/>
    </xf>
    <xf numFmtId="0" fontId="6" fillId="0" borderId="5" applyAlignment="1" pivotButton="0" quotePrefix="0" xfId="0">
      <alignment horizontal="left" vertical="top" wrapText="1"/>
    </xf>
    <xf numFmtId="0" fontId="0" fillId="0" borderId="4" applyAlignment="1" pivotButton="0" quotePrefix="0" xfId="0">
      <alignment horizontal="left" vertical="top" wrapText="1"/>
    </xf>
    <xf numFmtId="0" fontId="6" fillId="8" borderId="2" applyAlignment="1" pivotButton="0" quotePrefix="0" xfId="0">
      <alignment horizontal="left" vertical="top" wrapText="1"/>
    </xf>
    <xf numFmtId="0" fontId="6" fillId="8" borderId="5" applyAlignment="1" pivotButton="0" quotePrefix="0" xfId="0">
      <alignment horizontal="left" vertical="top" wrapText="1"/>
    </xf>
    <xf numFmtId="0" fontId="0" fillId="8" borderId="4" applyAlignment="1" pivotButton="0" quotePrefix="0" xfId="0">
      <alignment horizontal="left" vertical="top" wrapText="1"/>
    </xf>
    <xf numFmtId="0" fontId="6" fillId="9" borderId="2" applyAlignment="1" pivotButton="0" quotePrefix="0" xfId="0">
      <alignment horizontal="left" vertical="top" wrapText="1"/>
    </xf>
    <xf numFmtId="0" fontId="6" fillId="9" borderId="5" applyAlignment="1" pivotButton="0" quotePrefix="0" xfId="0">
      <alignment horizontal="left" vertical="top" wrapText="1"/>
    </xf>
    <xf numFmtId="0" fontId="0" fillId="9" borderId="4" applyAlignment="1" pivotButton="0" quotePrefix="0" xfId="0">
      <alignment horizontal="left" vertical="top" wrapText="1"/>
    </xf>
    <xf numFmtId="0" fontId="3" fillId="4" borderId="0" applyAlignment="1" pivotButton="0" quotePrefix="0" xfId="0">
      <alignment horizontal="left" vertical="center"/>
    </xf>
    <xf numFmtId="0" fontId="0" fillId="0" borderId="0" pivotButton="0" quotePrefix="0" xfId="0"/>
    <xf numFmtId="0" fontId="6" fillId="0" borderId="5" applyAlignment="1" pivotButton="0" quotePrefix="0" xfId="0">
      <alignment vertical="top" wrapText="1"/>
    </xf>
    <xf numFmtId="0" fontId="0" fillId="0" borderId="4" pivotButton="0" quotePrefix="0" xfId="0"/>
    <xf numFmtId="0" fontId="0" fillId="0" borderId="0" applyAlignment="1" pivotButton="0" quotePrefix="0" xfId="0">
      <alignment vertical="top" wrapText="1"/>
    </xf>
    <xf numFmtId="0" fontId="8" fillId="0" borderId="0" applyAlignment="1" pivotButton="0" quotePrefix="0" xfId="0">
      <alignment vertical="top" wrapText="1"/>
    </xf>
    <xf numFmtId="0" fontId="1" fillId="2" borderId="0" applyAlignment="1" pivotButton="0" quotePrefix="0" xfId="0">
      <alignment horizontal="left" vertical="center"/>
    </xf>
    <xf numFmtId="0" fontId="5" fillId="5" borderId="6" applyAlignment="1" pivotButton="0" quotePrefix="0" xfId="0">
      <alignment horizontal="center" vertical="center" wrapText="1"/>
    </xf>
    <xf numFmtId="0" fontId="0" fillId="0" borderId="3" pivotButton="0" quotePrefix="0" xfId="0"/>
    <xf numFmtId="0" fontId="2" fillId="3" borderId="0" applyAlignment="1" pivotButton="0" quotePrefix="0" xfId="0">
      <alignment vertical="top" wrapText="1"/>
    </xf>
    <xf numFmtId="164" fontId="0" fillId="0" borderId="0" applyAlignment="1" pivotButton="0" quotePrefix="0" xfId="0">
      <alignment vertical="top" wrapText="1"/>
    </xf>
    <xf numFmtId="0" fontId="9" fillId="0" borderId="0" applyAlignment="1" pivotButton="0" quotePrefix="0" xfId="0">
      <alignment wrapText="1"/>
    </xf>
    <xf numFmtId="9" fontId="0" fillId="0" borderId="0" applyAlignment="1" pivotButton="0" quotePrefix="0" xfId="0">
      <alignment vertical="top" wrapText="1"/>
    </xf>
    <xf numFmtId="0" fontId="3" fillId="4" borderId="0" applyAlignment="1" pivotButton="0" quotePrefix="0" xfId="0">
      <alignment horizontal="left" vertical="top" wrapText="1"/>
    </xf>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0" borderId="6" pivotButton="0" quotePrefix="0" xfId="0"/>
    <xf numFmtId="0" fontId="0" fillId="0" borderId="5" pivotButton="0" quotePrefix="0" xfId="0"/>
    <xf numFmtId="0" fontId="15" fillId="6" borderId="5" applyAlignment="1" pivotButton="0" quotePrefix="0" xfId="0">
      <alignment vertical="top" wrapText="1"/>
    </xf>
    <xf numFmtId="0" fontId="6" fillId="6" borderId="5" applyAlignment="1" pivotButton="0" quotePrefix="0" xfId="0">
      <alignment vertical="top" wrapText="1"/>
    </xf>
    <xf numFmtId="0" fontId="0" fillId="9" borderId="5" applyAlignment="1" pivotButton="0" quotePrefix="0" xfId="0">
      <alignment horizontal="lef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comments/comment1.xml><?xml version="1.0" encoding="utf-8"?>
<comments xmlns="http://schemas.openxmlformats.org/spreadsheetml/2006/main">
  <authors>
    <author>OpenAI</author>
  </authors>
  <commentList>
    <comment ref="A4" authorId="0" shapeId="0">
      <text>
        <t>Core rows transcribed from "Tabla para nuevas estimaciones panel-Siqueira &amp; Grandes 25-9-2026.docx". Notes reflect Martin Grandes WhatsApp messages dated 25-Sep-2026.</t>
      </text>
    </comment>
  </commentList>
</comments>
</file>

<file path=xl/tables/table1.xml><?xml version="1.0" encoding="utf-8"?>
<table xmlns="http://schemas.openxmlformats.org/spreadsheetml/2006/main" id="1" name="RevisionTrackerTable" displayName="RevisionTrackerTable" ref="A11:L27" headerRowCount="1">
  <autoFilter ref="A11:L27"/>
  <tableColumns count="12">
    <tableColumn id="1" name="Seq."/>
    <tableColumn id="2" name="WP ID"/>
    <tableColumn id="3" name="Phase"/>
    <tableColumn id="4" name="Master issue IDs"/>
    <tableColumn id="5" name="Work package"/>
    <tableColumn id="6" name="Why this is sequenced here"/>
    <tableColumn id="7" name="Thesis location(s)"/>
    <tableColumn id="8" name="Concrete deliverable"/>
    <tableColumn id="9" name="Dependencies"/>
    <tableColumn id="10" name="Status"/>
    <tableColumn id="11" name="Gate / acceptance criterion"/>
    <tableColumn id="12" name="Working notes"/>
  </tableColumns>
  <tableStyleInfo name="TableStyleMedium2" showFirstColumn="0" showLastColumn="0" showRowStripes="1" showColumnStripes="0"/>
</table>
</file>

<file path=xl/tables/table2.xml><?xml version="1.0" encoding="utf-8"?>
<table xmlns="http://schemas.openxmlformats.org/spreadsheetml/2006/main" id="2" name="MasterMatrixTable" displayName="MasterMatrixTable" ref="A3:S37" headerRowCount="1">
  <autoFilter ref="A3:S37"/>
  <tableColumns count="19">
    <tableColumn id="1" name="ID"/>
    <tableColumn id="2" name="Source IDs"/>
    <tableColumn id="3" name="Overlap group"/>
    <tableColumn id="4" name="Priority"/>
    <tableColumn id="5" name="Juror(s)"/>
    <tableColumn id="6" name="Consolidated juror criticism"/>
    <tableColumn id="7" name="Report location"/>
    <tableColumn id="8" name="Martin position"/>
    <tableColumn id="9" name="Martin annotation / evidence"/>
    <tableColumn id="10" name="My diagnosis"/>
    <tableColumn id="11" name="Revision category"/>
    <tableColumn id="12" name="Thesis location"/>
    <tableColumn id="13" name="Required action"/>
    <tableColumn id="14" name="Estimation / work type"/>
    <tableColumn id="15" name="Dependencies"/>
    <tableColumn id="16" name="Acceptance criterion"/>
    <tableColumn id="17" name="Change required?"/>
    <tableColumn id="18" name="Status"/>
    <tableColumn id="19" name="Working notes"/>
  </tableColumns>
  <tableStyleInfo name="TableStyleMedium2" showFirstColumn="0" showLastColumn="0" showRowStripes="1" showColumnStripes="0"/>
</table>
</file>

<file path=xl/tables/table3.xml><?xml version="1.0" encoding="utf-8"?>
<table xmlns="http://schemas.openxmlformats.org/spreadsheetml/2006/main" id="3" name="JurorLogTable" displayName="JurorLogTable" ref="A3:G57" headerRowCount="1">
  <autoFilter ref="A3:G57"/>
  <tableColumns count="7">
    <tableColumn id="1" name="Source ID"/>
    <tableColumn id="2" name="Juror"/>
    <tableColumn id="3" name="Report location"/>
    <tableColumn id="4" name="Original criticism - concise"/>
    <tableColumn id="5" name="Master issue ID(s)"/>
    <tableColumn id="6" name="Overlap group"/>
    <tableColumn id="7" name="Martin position / disposition"/>
  </tableColumns>
  <tableStyleInfo name="TableStyleMedium2" showFirstColumn="0" showLastColumn="0" showRowStripes="1" showColumnStripes="0"/>
</table>
</file>

<file path=xl/tables/table4.xml><?xml version="1.0" encoding="utf-8"?>
<table xmlns="http://schemas.openxmlformats.org/spreadsheetml/2006/main" id="4" name="DirectorGuidanceTable" displayName="DirectorGuidanceTable" ref="A3:G15" headerRowCount="1">
  <autoFilter ref="A3:G15"/>
  <tableColumns count="7">
    <tableColumn id="1" name="Guidance ID"/>
    <tableColumn id="2" name="Source / date"/>
    <tableColumn id="3" name="Topic"/>
    <tableColumn id="4" name="Director guidance - condensed"/>
    <tableColumn id="5" name="Master issue / WP"/>
    <tableColumn id="6" name="Disposition"/>
    <tableColumn id="7" name="Required incorporation"/>
  </tableColumns>
  <tableStyleInfo name="TableStyleMedium2" showFirstColumn="0" showLastColumn="0" showRowStripes="1" showColumnStripes="0"/>
</table>
</file>

<file path=xl/tables/table5.xml><?xml version="1.0" encoding="utf-8"?>
<table xmlns="http://schemas.openxmlformats.org/spreadsheetml/2006/main" id="5" name="OverlapMapTable" displayName="OverlapMapTable" ref="A3:G19" headerRowCount="1">
  <autoFilter ref="A3:G19"/>
  <tableColumns count="7">
    <tableColumn id="1" name="Overlap group"/>
    <tableColumn id="2" name="Cross-juror overlap?"/>
    <tableColumn id="3" name="Theme"/>
    <tableColumn id="4" name="What the reports/director say"/>
    <tableColumn id="5" name="Master issue IDs"/>
    <tableColumn id="6" name="Unified resolution"/>
    <tableColumn id="7" name="Duplication-control note"/>
  </tableColumns>
  <tableStyleInfo name="TableStyleMedium2" showFirstColumn="0" showLastColumn="0" showRowStripes="1" showColumnStripes="0"/>
</table>
</file>

<file path=xl/tables/table6.xml><?xml version="1.0" encoding="utf-8"?>
<table xmlns="http://schemas.openxmlformats.org/spreadsheetml/2006/main" id="6" name="ActionSequenceTable" displayName="ActionSequenceTable" ref="A3:G10" headerRowCount="1">
  <autoFilter ref="A3:G10"/>
  <tableColumns count="7">
    <tableColumn id="1" name="Order"/>
    <tableColumn id="2" name="Phase"/>
    <tableColumn id="3" name="Master issue IDs"/>
    <tableColumn id="4" name="Core tasks"/>
    <tableColumn id="5" name="Deliverable"/>
    <tableColumn id="6" name="Dependency"/>
    <tableColumn id="7" name="Gate / decision rule"/>
  </tableColumns>
  <tableStyleInfo name="TableStyleMedium2" showFirstColumn="0" showLastColumn="0" showRowStripes="1" showColumnStripes="0"/>
</table>
</file>

<file path=xl/tables/table7.xml><?xml version="1.0" encoding="utf-8"?>
<table xmlns="http://schemas.openxmlformats.org/spreadsheetml/2006/main" id="7" name="V4ChangeLogTable" displayName="V4ChangeLogTable" ref="A3:E15" headerRowCount="1">
  <autoFilter ref="A3:E15"/>
  <tableColumns count="5">
    <tableColumn id="1" name="Change ID"/>
    <tableColumn id="2" name="Date"/>
    <tableColumn id="3" name="Topic"/>
    <tableColumn id="4" name="Sheets / rows affected"/>
    <tableColumn id="5" name="What chang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1.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rgb="FF17365D"/>
    <outlinePr summaryBelow="1" summaryRight="1"/>
    <pageSetUpPr/>
  </sheetPr>
  <dimension ref="A1:E62"/>
  <sheetViews>
    <sheetView showGridLines="0" workbookViewId="0">
      <selection activeCell="A1" sqref="A1"/>
    </sheetView>
  </sheetViews>
  <sheetFormatPr baseColWidth="8" defaultRowHeight="14.5"/>
  <cols>
    <col width="30" customWidth="1" style="40" min="1" max="1"/>
    <col width="48" customWidth="1" style="40" min="2" max="2"/>
    <col width="18" customWidth="1" style="40" min="3" max="3"/>
    <col width="28" customWidth="1" style="40" min="4" max="4"/>
    <col width="24" customWidth="1" style="40" min="5" max="5"/>
  </cols>
  <sheetData>
    <row r="1" ht="26" customHeight="1" s="40">
      <c r="A1" s="45" t="inlineStr">
        <is>
          <t>TFM - Master Revision Matrix v30</t>
        </is>
      </c>
    </row>
    <row r="2" ht="85" customHeight="1" s="40">
      <c r="A2" s="48" t="inlineStr">
        <is>
          <t>Single source of truth for the jury-revision process. Updated 9-Oct-2026 after closing the Econometric Panel Data Freeze Gate. The reproducible builder now writes and validates panel_main_and_robustness_rebuilt.xlsx with 4,648 bond-month rows, 19 columns, 103 bonds and 48 issuers while preserving the legacy 4,229-row workbook unchanged. BCB SGS 13762 Gross General Government Debt (% GDP) now uses the frozen uniform L2 reference-month timing. Sovereign Risk (BRL) keeps the validated WP-02 LTN/NTN-F-vs-DI arithmetic and is mapped contemporaneously inside WP-06: 3,918 rows are populated from Jan-2016 onward and 730 pre-2016 rows remain intentionally missing; there is no backward time extrapolation and the legacy synthetic-CDS/latest-curve mapper remains rejected. Full overlap reconciliation passed: metadata plus VIX/Fed 3M OIS/USD-BRL/GDP reconcile exactly on 4,226 common bond-months; relative issue size is exact; accounting differences follow the frozen PIT timing; residual maturity differs by at most 1/252 year from the legacy convention; the revised spread and fiscal/sovereign constructs change by design. Reproducibility commit 23435a4 contains the builder, candidate panel and required canonical inputs. CURRENT: WP-07 is active — reset inference to the single bond-FE / Driscoll-Kraay core table, then run the agreed targeted robustness checks.</t>
        </is>
      </c>
    </row>
    <row r="3">
      <c r="A3" s="1" t="inlineStr">
        <is>
          <t>v30 update</t>
        </is>
      </c>
      <c r="B3" s="43" t="inlineStr">
        <is>
          <t>9-Oct-2026: Data Freeze Gate PASSED. Sovereign panel mapping was frozen and implemented without reopening WP-02: same-date nominal government nodes are used only from 2016 onward; flat-forward interpolation is used between contemporaneous tenor nodes, endpoint-flat mapping outside the available tenor range, and a single observed node is carried across corporate maturities on that same date. No sovereign value is time-extrapolated back into 2010-2015, leaving 730 intentionally missing rows and 3,918 populated rows. BCB SGS 13762 public-debt/GDP now applies the frozen uniform L2 reference-month timing across all 175 panel months. The candidate panel was assembled and validated at 4,648 rows x 19 columns, 103 bonds, 48 issuers, 0 duplicate bond-month keys and complete coverage for every baseline field other than the documented pre-2016 sovereign gap. Sample reconciliation: 4,226 legacy bond-months retained, 422 newly recovered observations added, and three AN275276 Corp legacy rows (May-Jul 2017) intentionally removed because the revised ANDE replacement history begins 29-Aug-2017; net change +419. Unchanged metadata and VIX/Fed3M/USD-BRL/GDP match exactly on all 4,226 common rows; relative issue size also matches exactly. Expected differences in spreads, public debt/GDP, PIT liquidity/leverage, BUS/252 maturity and sovereign risk are documented. The rebuilt panel and reproducible builder were committed as 23435a4 (Build reproducible frozen econometrics panel). WP-06 is Done; WP-07 is now In progress.</t>
        </is>
      </c>
    </row>
    <row r="4" ht="22" customHeight="1" s="40">
      <c r="A4" s="39" t="inlineStr">
        <is>
          <t>Purpose and governance</t>
        </is>
      </c>
    </row>
    <row r="5" ht="38" customHeight="1" s="40">
      <c r="A5" s="1" t="inlineStr">
        <is>
          <t>Purpose</t>
        </is>
      </c>
      <c r="B5" s="43" t="inlineStr">
        <is>
          <t>Use the Master Matrix as the authoritative record of every jury issue, Martin's disposition, the required evidence/change, dependencies and completion status.</t>
        </is>
      </c>
    </row>
    <row r="6" ht="100" customHeight="1" s="40">
      <c r="A6" s="1" t="inlineStr">
        <is>
          <t>Workflow status</t>
        </is>
      </c>
      <c r="B6" s="43" t="inlineStr">
        <is>
          <t>The Econometric Panel Data Freeze Gate is CLOSED/PASSED. The authoritative reproducible candidate is datos_y_modelos/db/econometrics_db/panel_main_and_robustness_rebuilt.xlsx (4,648 x 19; 103 bonds; 48 issuers). The legacy panel_main_and_robustness.xlsx remains an untouched archival comparison file. Fiscal control is BCB SGS 13762 Gross General Government Debt (% GDP) with uniform L2 timing; accounting controls use the frozen PIT quarter-selection rules; relative issue size and BUS/252 residual maturity are reproducible; Sovereign Risk (BRL) is populated contemporaneously from 2016 onward with 730 documented pre-2016 missing rows and no backward time extrapolation. Ratings remain descriptive and the revised corporate-pricing/BVAL source hierarchy remains frozen. CURRENT: WP-07 — audit/execute the final bond-FE Driscoll-Kraay setup and produce the single core table, followed by targeted robustness under WP-08.</t>
        </is>
      </c>
    </row>
    <row r="7" ht="38" customHeight="1" s="40">
      <c r="A7" s="1" t="inlineStr">
        <is>
          <t>Scope rule</t>
        </is>
      </c>
      <c r="B7" s="43" t="inlineStr">
        <is>
          <t>Every jury point must map to a change, diagnostic, defense answer or reasoned non-change. Not every suggested extension must be estimated.</t>
        </is>
      </c>
    </row>
    <row r="8" ht="44" customHeight="1" s="40">
      <c r="A8" s="1" t="inlineStr">
        <is>
          <t>v16 update</t>
        </is>
      </c>
      <c r="B8" s="43" t="inlineStr">
        <is>
          <t>2-Oct-2026: nominal Fed 3M Forward audit completed end-to-end. Bloomberg USSOC Curncy / PX_LAST (3M USD OIS) matched all 164 distinct panel months exactly (0 mismatches; max absolute difference 0.0). Baseline Stata uses the series directly in percentage points with no log, standardization or /100 scaling; only the separate macro-difference robustness creates D.fed_3m_forward. Thesis wording now keeps “Fed 3M Forward” as the intuitive label but defines the underlying 3M USD OIS precisely and states that it is forward-looking in economic content, not a forward-starting 3Mx3M rate. MR-09 is closed; any post-freeze raw/partial correlations and final VIX sign/H1 interpretation are tracked under MR-18/MR-19. Next pre-freeze audit: USD/BRL.</t>
        </is>
      </c>
    </row>
    <row r="9" ht="78" customHeight="1" s="40">
      <c r="A9" s="1" t="inlineStr">
        <is>
          <t>v23 update</t>
        </is>
      </c>
      <c r="B9" s="43" t="inlineStr">
        <is>
          <t>4-Oct-2026: days_to_maturity completed the six-step audit. Source field is contractual MATURITY from universo_brazil_deb_des.xlsx / db_values_only; all 103 panel bonds map uniquely with 0 missing maturities. The monthly calendar is the common corporate-YTM / real-curve obs_date set: 175 unique dates from Dec-2010 to Jun-2025, exactly one per month and identical across both inputs; 62 dates are before literal calendar month-end. The stored panel variable is not days: days_to_maturity x 252 is an integer for every row, and 4,229/4,229 observations reproduce exactly as ANBIMA business days from obs_date through maturity, inclusive of a valid maturity date, divided by 252, with 20 November included as a holiday from 2024 onward. Stata uses this BUS/252-year level directly. Preferred label: residual bond maturity (BUS/252 years) / plazo residual al vencimiento (años, BUS/252). The current DayCounts helper omits 20 November and excludes the terminal date, so align/document that helper during the final controlled rebuild; do not change the historical panel values ad hoc. NEXT: reconcile synthetic_cds_brl with the validated Sovereign Risk (BRL) / sovereign_spread_brl construction.</t>
        </is>
      </c>
    </row>
    <row r="10" ht="22" customHeight="1" s="40">
      <c r="A10" s="39" t="inlineStr">
        <is>
          <t>Authoritative inputs</t>
        </is>
      </c>
    </row>
    <row r="11" ht="34" customHeight="1" s="40">
      <c r="A11" s="3" t="inlineStr">
        <is>
          <t>Source file / message</t>
        </is>
      </c>
      <c r="B11" s="3" t="inlineStr">
        <is>
          <t>Role</t>
        </is>
      </c>
      <c r="C11" s="3" t="inlineStr">
        <is>
          <t>Date/pages</t>
        </is>
      </c>
      <c r="D11" s="3" t="inlineStr">
        <is>
          <t>How used</t>
        </is>
      </c>
      <c r="E11" s="3" t="inlineStr">
        <is>
          <t>Current status</t>
        </is>
      </c>
    </row>
    <row r="12" ht="34" customHeight="1" s="40">
      <c r="A12" s="4" t="inlineStr">
        <is>
          <t>TFM_Maestria_Economia_Siqueira_Thiago_Abril_10_2026.pdf</t>
        </is>
      </c>
      <c r="B12" s="4" t="inlineStr">
        <is>
          <t>Submitted thesis baseline</t>
        </is>
      </c>
      <c r="C12" s="4" t="inlineStr">
        <is>
          <t>69 pages</t>
        </is>
      </c>
      <c r="D12" s="4" t="inlineStr">
        <is>
          <t>Locations, equations, tables, figures and annexes</t>
        </is>
      </c>
      <c r="E12" s="4" t="inlineStr">
        <is>
          <t>Frozen baseline</t>
        </is>
      </c>
    </row>
    <row r="13" ht="34" customHeight="1" s="40">
      <c r="A13" s="4" t="inlineStr">
        <is>
          <t>Ailin - Informe Preliminar TFM_Siqueira_Thiago (2).pdf</t>
        </is>
      </c>
      <c r="B13" s="4" t="inlineStr">
        <is>
          <t>Jury report + Martin annotations</t>
        </is>
      </c>
      <c r="C13" s="4" t="inlineStr">
        <is>
          <t>11 pages</t>
        </is>
      </c>
      <c r="D13" s="4" t="inlineStr">
        <is>
          <t>Criticisms A-01 to A-18 and annotated dispositions</t>
        </is>
      </c>
      <c r="E13" s="4" t="inlineStr">
        <is>
          <t>Integrated</t>
        </is>
      </c>
    </row>
    <row r="14" ht="34" customHeight="1" s="40">
      <c r="A14" s="4" t="inlineStr">
        <is>
          <t>Maximo Sangiacomo - Evaluacion_TFM_Siqueira_Thiago (2).pdf</t>
        </is>
      </c>
      <c r="B14" s="4" t="inlineStr">
        <is>
          <t>Jury report + Martin annotations</t>
        </is>
      </c>
      <c r="C14" s="4" t="inlineStr">
        <is>
          <t>5 pages</t>
        </is>
      </c>
      <c r="D14" s="4" t="inlineStr">
        <is>
          <t>Criticisms M-01 to M-18 and priority technical exercises</t>
        </is>
      </c>
      <c r="E14" s="4" t="inlineStr">
        <is>
          <t>Integrated - primary substantive priority</t>
        </is>
      </c>
    </row>
    <row r="15" ht="34" customHeight="1" s="40">
      <c r="A15" s="4" t="inlineStr">
        <is>
          <t>Devolucion DM - Daniel Milia.pdf</t>
        </is>
      </c>
      <c r="B15" s="4" t="inlineStr">
        <is>
          <t>Third jury report</t>
        </is>
      </c>
      <c r="C15" s="4" t="inlineStr">
        <is>
          <t>18-Sep-2026; 3 pages</t>
        </is>
      </c>
      <c r="D15" s="4" t="inlineStr">
        <is>
          <t>Criticisms D-01 to D-18 and defense guidance</t>
        </is>
      </c>
      <c r="E15" s="4" t="inlineStr">
        <is>
          <t>Integrated; director reviewed 24-Sep-2026</t>
        </is>
      </c>
    </row>
    <row r="16" ht="34" customHeight="1" s="40">
      <c r="A16" s="4" t="inlineStr">
        <is>
          <t>Martin Grandes - WhatsApp audio/text + Zoom meeting</t>
        </is>
      </c>
      <c r="B16" s="4" t="inlineStr">
        <is>
          <t>Director follow-up guidance</t>
        </is>
      </c>
      <c r="C16" s="4" t="inlineStr">
        <is>
          <t>Sep-2026 through 2-Oct-2026</t>
        </is>
      </c>
      <c r="D16" s="4" t="inlineStr">
        <is>
          <t>SELIC, dynamics, sovereign ceiling, DK/PCSE, nominal FED3M, table design, robustness sequence, Sovereign Risk (BRL), two-spread specification, liquidity proxy, VIX defense, ratings scope, stale-price/BVAL treatment, presentation design and deadlines</t>
        </is>
      </c>
      <c r="E16" s="4" t="inlineStr">
        <is>
          <t>Integrated as MG-01 to MG-29</t>
        </is>
      </c>
    </row>
    <row r="17" ht="34" customHeight="1" s="40">
      <c r="A17" s="4" t="inlineStr">
        <is>
          <t>Proceso de presentacion y evaluacion del Trabajo Final - Res.CD 1313/2023</t>
        </is>
      </c>
      <c r="B17" s="4" t="inlineStr">
        <is>
          <t>Institutional process</t>
        </is>
      </c>
      <c r="C17" s="4" t="inlineStr">
        <is>
          <t>Sep-2023; 1 page</t>
        </is>
      </c>
      <c r="D17" s="4" t="inlineStr">
        <is>
          <t>Formal stages and generic time windows</t>
        </is>
      </c>
      <c r="E17" s="4" t="inlineStr">
        <is>
          <t>Exact project deadline still to enter</t>
        </is>
      </c>
    </row>
    <row r="18" ht="42" customHeight="1" s="40">
      <c r="A18" s="4" t="inlineStr">
        <is>
          <t>Tabla para nuevas estimaciones panel-Siqueira &amp; Grandes 25-9-2026.docx</t>
        </is>
      </c>
      <c r="B18" s="4" t="inlineStr">
        <is>
          <t>Director-provided estimation template</t>
        </is>
      </c>
      <c r="C18" s="4" t="inlineStr">
        <is>
          <t>25-Sep-2026; 1 page</t>
        </is>
      </c>
      <c r="D18" s="4" t="inlineStr">
        <is>
          <t>Exact four-column FE-Driscoll-Kraay variable-inclusion grid and requested output statistics</t>
        </is>
      </c>
      <c r="E18" s="4" t="inlineStr">
        <is>
          <t>Integrated; two layout ambiguities flagged for confirmation</t>
        </is>
      </c>
    </row>
    <row r="19" ht="22" customHeight="1" s="40">
      <c r="A19" s="39" t="inlineStr">
        <is>
          <t>Revision categories</t>
        </is>
      </c>
    </row>
    <row r="20" ht="34" customHeight="1" s="40">
      <c r="A20" s="3" t="inlineStr">
        <is>
          <t>Category</t>
        </is>
      </c>
      <c r="B20" s="3" t="inlineStr">
        <is>
          <t>Definition</t>
        </is>
      </c>
      <c r="C20" s="3" t="inlineStr">
        <is>
          <t>Default implication</t>
        </is>
      </c>
    </row>
    <row r="21" ht="34" customHeight="1" s="40">
      <c r="A21" s="4" t="inlineStr">
        <is>
          <t>A - Methodological issue / additional estimation</t>
        </is>
      </c>
      <c r="B21" s="4" t="inlineStr">
        <is>
          <t>Measurement, identification, data or inference concern.</t>
        </is>
      </c>
      <c r="C21" s="4" t="inlineStr">
        <is>
          <t>Change data/model and regenerate affected outputs.</t>
        </is>
      </c>
    </row>
    <row r="22" ht="34" customHeight="1" s="40">
      <c r="A22" s="4" t="inlineStr">
        <is>
          <t>B - Clarification / reframing</t>
        </is>
      </c>
      <c r="B22" s="4" t="inlineStr">
        <is>
          <t>Valid criticism mainly solved through precise definitions, interpretation or wording.</t>
        </is>
      </c>
      <c r="C22" s="4" t="inlineStr">
        <is>
          <t>Rewrite after final estimates; may include a small diagnostic.</t>
        </is>
      </c>
    </row>
    <row r="23" ht="34" customHeight="1" s="40">
      <c r="A23" s="4" t="inlineStr">
        <is>
          <t>C - Presentation / structure / literature / documentation</t>
        </is>
      </c>
      <c r="B23" s="4" t="inlineStr">
        <is>
          <t>Presentation, literature, reporting, provenance or reproducibility.</t>
        </is>
      </c>
      <c r="C23" s="4" t="inlineStr">
        <is>
          <t>Revise text/tables/appendix/package; not necessarily new estimation.</t>
        </is>
      </c>
    </row>
    <row r="24" ht="34" customHeight="1" s="40">
      <c r="A24" s="4" t="inlineStr">
        <is>
          <t>D - Not endorsed / optional / response only</t>
        </is>
      </c>
      <c r="B24" s="4" t="inlineStr">
        <is>
          <t>Request rejected, narrowed or treated as optional/future research.</t>
        </is>
      </c>
      <c r="C24" s="4" t="inlineStr">
        <is>
          <t>No mandatory thesis change; answer in memo/defense or add only if low cost.</t>
        </is>
      </c>
    </row>
    <row r="26" ht="22" customHeight="1" s="40">
      <c r="A26" s="39" t="inlineStr">
        <is>
          <t>Workbook map</t>
        </is>
      </c>
    </row>
    <row r="27" ht="28" customHeight="1" s="40">
      <c r="A27" s="1" t="inlineStr">
        <is>
          <t>Dashboard</t>
        </is>
      </c>
      <c r="B27" s="43" t="inlineStr">
        <is>
          <t>Formula-driven overview of priorities, counts, current package and process status.</t>
        </is>
      </c>
    </row>
    <row r="28" ht="28" customHeight="1" s="40">
      <c r="A28" s="1" t="inlineStr">
        <is>
          <t>Process &amp; Deadlines</t>
        </is>
      </c>
      <c r="B28" s="43" t="inlineStr">
        <is>
          <t>Institutional stages, generic windows and project-specific control fields.</t>
        </is>
      </c>
    </row>
    <row r="29" ht="28" customHeight="1" s="40">
      <c r="A29" s="1" t="inlineStr">
        <is>
          <t>Revision Tracker</t>
        </is>
      </c>
      <c r="B29" s="43" t="inlineStr">
        <is>
          <t>Sixteen dependency-based work packages. Update Status and Working notes.</t>
        </is>
      </c>
    </row>
    <row r="30" ht="28" customHeight="1" s="40">
      <c r="A30" s="1" t="inlineStr">
        <is>
          <t>Master Matrix</t>
        </is>
      </c>
      <c r="B30" s="43" t="inlineStr">
        <is>
          <t>Thirty-four consolidated revision issues across all jurors and director guidance.</t>
        </is>
      </c>
    </row>
    <row r="31" ht="28" customHeight="1" s="40">
      <c r="A31" s="1" t="inlineStr">
        <is>
          <t>Juror Log</t>
        </is>
      </c>
      <c r="B31" s="43" t="inlineStr">
        <is>
          <t>Every distinct juror criticism mapped to one or more master issues.</t>
        </is>
      </c>
    </row>
    <row r="32" ht="28" customHeight="1" s="40">
      <c r="A32" s="1" t="inlineStr">
        <is>
          <t>Director Guidance</t>
        </is>
      </c>
      <c r="B32" s="43" t="inlineStr">
        <is>
          <t>Traceability for Martin's audio/text decisions through the 2-Oct-2026 Zoom meeting, including updated econometric, data-quality, ratings and delivery guidance.</t>
        </is>
      </c>
    </row>
    <row r="33" ht="28" customHeight="1" s="40">
      <c r="A33" s="1" t="inlineStr">
        <is>
          <t>Overlap Map</t>
        </is>
      </c>
      <c r="B33" s="43" t="inlineStr">
        <is>
          <t>Unified resolution of recurring issues to prevent duplicate work.</t>
        </is>
      </c>
    </row>
    <row r="34" ht="28" customHeight="1" s="40">
      <c r="A34" s="1" t="inlineStr">
        <is>
          <t>Action Sequence</t>
        </is>
      </c>
      <c r="B34" s="43" t="inlineStr">
        <is>
          <t>Dependency order that minimizes rework.</t>
        </is>
      </c>
    </row>
    <row r="35" ht="28" customHeight="1" s="40">
      <c r="A35" s="1" t="inlineStr">
        <is>
          <t>Estimation Plan</t>
        </is>
      </c>
      <c r="B35" s="43" t="inlineStr">
        <is>
          <t>Current FE-Driscoll-Kraay model grid, post-freeze robustness checks, pricing-data QA controls, ratings response and 10-Oct delivery target; Data Freeze passed 9-Oct-2026.</t>
        </is>
      </c>
    </row>
    <row r="36" ht="28" customHeight="1" s="40">
      <c r="A36" s="1" t="inlineStr">
        <is>
          <t>v4 Change Log</t>
        </is>
      </c>
      <c r="B36" s="43" t="inlineStr">
        <is>
          <t>Historical changes introduced on 24-Sep-2026.</t>
        </is>
      </c>
    </row>
    <row r="37" ht="28" customHeight="1" s="40">
      <c r="A37" s="1" t="inlineStr">
        <is>
          <t>v5 Change Log</t>
        </is>
      </c>
      <c r="B37" s="43" t="inlineStr">
        <is>
          <t>Exact changes introduced from Martin Grandes' 25-Sep-2026 instructions.</t>
        </is>
      </c>
    </row>
    <row r="38" ht="43.5" customHeight="1" s="40">
      <c r="A38" s="1" t="inlineStr">
        <is>
          <t>v6 Change Log</t>
        </is>
      </c>
      <c r="B38" s="43" t="inlineStr">
        <is>
          <t>Changes introduced from Martin Grandes' 25-Sep-2026 sovereign-risk clarification and workflow handoff from WP-01 to WP-02.</t>
        </is>
      </c>
    </row>
    <row r="39" ht="43.5" customHeight="1" s="40">
      <c r="A39" s="1" t="inlineStr">
        <is>
          <t>v7 Change Log</t>
        </is>
      </c>
      <c r="B39" s="43" t="inlineStr">
        <is>
          <t>Changes introduced from Martin Grandes' 27-Sep-2026 audio clarifying the preferred two-spread specification, USD CDS status and referee-only SELIC check.</t>
        </is>
      </c>
    </row>
    <row r="40" ht="43.5" customHeight="1" s="40">
      <c r="A40" s="1" t="inlineStr">
        <is>
          <t>v8 Change Log</t>
        </is>
      </c>
      <c r="B40" s="43" t="inlineStr">
        <is>
          <t>Changes introduced from the 29-Sep-2026 nominal sovereign-risk implementation audit, exact-node interpolation fix, and WP-02 status clarification.</t>
        </is>
      </c>
    </row>
    <row r="41" ht="29" customHeight="1" s="40">
      <c r="A41" s="1" t="inlineStr">
        <is>
          <t>v9 Change Log</t>
        </is>
      </c>
      <c r="B41" s="43" t="inlineStr">
        <is>
          <t>Changes introduced by WP-02 closure and workflow handoff to WP-03 on 29-Sep-2026.</t>
        </is>
      </c>
    </row>
    <row r="42" ht="43.5" customHeight="1" s="40">
      <c r="A42" s="1" t="inlineStr">
        <is>
          <t>v10 Change Log</t>
        </is>
      </c>
      <c r="B42" s="43" t="inlineStr">
        <is>
          <t>Changes introduced by WP-03 closure, thesis-side issue-size clarification, and workflow handoff to WP-04 on 30-Sep-2026.</t>
        </is>
      </c>
    </row>
    <row r="43" ht="43.5" customHeight="1" s="40">
      <c r="A43" s="1" t="inlineStr">
        <is>
          <t>v11 Change Log</t>
        </is>
      </c>
      <c r="B43" s="43" t="inlineStr">
        <is>
          <t>Changes introduced on 1-Oct-2026 after inserting the WP-04 SELIC baseline non-inclusion rationale into thesis Section 4.5.3.</t>
        </is>
      </c>
    </row>
    <row r="44" ht="43.5" customHeight="1" s="40">
      <c r="A44" s="1" t="inlineStr">
        <is>
          <t>v12 Change Log</t>
        </is>
      </c>
      <c r="B44" s="43" t="inlineStr">
        <is>
          <t>Changes introduced on 1-Oct-2026 after identifying, downloading and documenting the Brazil 3M DI referee-only robustness proxy for WP-04.</t>
        </is>
      </c>
    </row>
    <row r="45" ht="58" customHeight="1" s="40">
      <c r="A45" s="1" t="inlineStr">
        <is>
          <t>v13 Change Log</t>
        </is>
      </c>
      <c r="B45" s="43" t="inlineStr">
        <is>
          <t>Changes introduced on 1-Oct-2026 after adopting the Econometric Panel Data Freeze Gate, parking WP-04 regression work until post-freeze robustness, and activating WP-06 / MR-09 as the current VIX audit.</t>
        </is>
      </c>
    </row>
    <row r="46" ht="58" customHeight="1" s="40">
      <c r="A46" s="1" t="inlineStr">
        <is>
          <t>v14 Change Log</t>
        </is>
      </c>
      <c r="B46" s="43" t="inlineStr">
        <is>
          <t>Changes introduced on 2-Oct-2026 after completing the pre-freeze VIX data/proxy audit, revising thesis terminology/H1 framing, and handing the Data Freeze Gate to the remaining baseline-regressor audits.</t>
        </is>
      </c>
    </row>
    <row r="47">
      <c r="A47" s="1" t="inlineStr">
        <is>
          <t>v15 Change Log</t>
        </is>
      </c>
      <c r="B47" s="43" t="inlineStr">
        <is>
          <t>Changes introduced on 2-Oct-2026 after identifying and independently validating the Bloomberg source for nominal Fed 3M Forward and completing raw-series/month-end-convention checks.</t>
        </is>
      </c>
    </row>
    <row r="48">
      <c r="A48" s="1" t="inlineStr">
        <is>
          <t>v16 Change Log</t>
        </is>
      </c>
      <c r="B48" s="43" t="inlineStr">
        <is>
          <t>Changes introduced on 2-Oct-2026 after completing the six-step Fed 3M Forward audit, closing MR-09 as a proxy/data-definition issue, and handing the Data Freeze Gate to USD/BRL and the remaining baseline regressors.</t>
        </is>
      </c>
    </row>
    <row r="49" s="40">
      <c r="A49" s="1" t="inlineStr">
        <is>
          <t>v17 Change Log</t>
        </is>
      </c>
      <c r="B49" s="43" t="inlineStr">
        <is>
          <t>Changes introduced on 2-Oct-2026 after completing the six-step nominal USD/BRL audit and moving the Data Freeze Gate to GDP YoY while preserving the separate RER pre-freeze dependency.</t>
        </is>
      </c>
    </row>
    <row r="50">
      <c r="A50" s="1" t="inlineStr">
        <is>
          <t>v18 Change Log</t>
        </is>
      </c>
      <c r="B50" s="43" t="inlineStr">
        <is>
          <t>Changes introduced from the 2-Oct-2026 director meeting: scope reset, DK/PCSE clarification, liquidity/rating guidance, pricing-data QA and updated 10-Oct/13-Oct milestones.</t>
        </is>
      </c>
    </row>
    <row r="51" ht="43.5" customHeight="1" s="40">
      <c r="A51" s="1" t="inlineStr">
        <is>
          <t>v19 Change Log</t>
        </is>
      </c>
      <c r="B51" s="43" t="inlineStr">
        <is>
          <t>Changes introduced on 3-Oct-2026 after completing the six-step GDP YoY audit and handing the Data Freeze Gate to Public debt/GDP.</t>
        </is>
      </c>
    </row>
    <row r="52" ht="43.5" customHeight="1" s="40">
      <c r="A52" s="1" t="inlineStr">
        <is>
          <t>v20 Change Log</t>
        </is>
      </c>
      <c r="B52" s="43" t="inlineStr">
        <is>
          <t>Changes introduced on 3-Oct-2026 after tracing legacy debt_gdp to EHBBBR fiscal balance, validating its full panel mapping, flagging the fiscal-control specification decision, and handing the next audit to cf_cash_oper_to_tot_asset.</t>
        </is>
      </c>
    </row>
    <row r="53" s="40">
      <c r="A53" s="1" t="inlineStr">
        <is>
          <t>v21 Change Log</t>
        </is>
      </c>
      <c r="B53" s="43" t="inlineStr">
        <is>
          <t>Changes introduced on 4-Oct-2026 after completing the six-step cf_cash_oper_to_tot_asset audit, identifying the same-quarter information-timing blocker, and handing the Data Freeze Gate to tot_debt_to_ebitda.</t>
        </is>
      </c>
    </row>
    <row r="54" s="40">
      <c r="A54" s="1" t="inlineStr">
        <is>
          <t>v22 Change Log</t>
        </is>
      </c>
      <c r="B54" s="43" t="inlineStr">
        <is>
          <t>Changes introduced on 4-Oct-2026 after completing the six-step tot_debt_to_ebitda audit, identifying a second accounting information-timing blocker, and handing the Data Freeze Gate to days_to_maturity.</t>
        </is>
      </c>
    </row>
    <row r="55">
      <c r="A55" s="1" t="inlineStr">
        <is>
          <t>v23 Change Log</t>
        </is>
      </c>
      <c r="B55" s="43" t="inlineStr">
        <is>
          <t>Changes introduced on 4-Oct-2026 after completing the six-step days_to_maturity audit, identifying the BUS/252 naming/day-count implementation discrepancy, and handing the final baseline-regressor reconciliation to synthetic_cds_brl / Sovereign Risk (BRL).</t>
        </is>
      </c>
    </row>
    <row r="56" s="40">
      <c r="A56" s="1" t="inlineStr">
        <is>
          <t>v24 Change Log</t>
        </is>
      </c>
      <c r="B56" s="43" t="inlineStr">
        <is>
          <t>Changes introduced on 4-Oct-2026 after completing the synthetic_cds_brl / Sovereign Risk (BRL) reconciliation, identifying the fixed post-sample curve and tenor-parser defects, and moving the Data Freeze Gate to the fiscal-control specification decision.</t>
        </is>
      </c>
    </row>
    <row r="57" ht="46" customHeight="1" s="40">
      <c r="A57" s="1" t="inlineStr">
        <is>
          <t>v25 Change Log</t>
        </is>
      </c>
      <c r="B57" s="43" t="inlineStr">
        <is>
          <t>Changes introduced on 5-Oct-2026 after closing the fiscal-control specification decision: replace legacy EHBBBR fiscal balance with official BCB SGS 13762 public debt/GDP using the selected uniform L2 timing convention, document the missing legacy panel-builder reproducibility path, and move the Data Freeze Gate to the two accounting-information timing rules.</t>
        </is>
      </c>
    </row>
    <row r="58" ht="46" customHeight="1" s="40">
      <c r="A58" s="1" t="inlineStr">
        <is>
          <t>v26 Change Log</t>
        </is>
      </c>
      <c r="B58" s="43" t="inlineStr">
        <is>
          <t>Changes introduced on 5-Oct-2026 after closing the joint accounting-information timing decision with exact Bloomberg point-in-time fundamentals, quantifying the one-quarter fallback at issuer-date and bond-row level with zero sample loss, and moving the Data Freeze Gate to residual-maturity BUS/252 helper consistency.</t>
        </is>
      </c>
    </row>
    <row r="59" ht="46" customHeight="1" s="40">
      <c r="A59" s="1" t="inlineStr">
        <is>
          <t>v27 Change Log</t>
        </is>
      </c>
      <c r="B59" s="43" t="inlineStr">
        <is>
          <t>Changes introduced on 6-Oct-2026 after closing the residual-maturity BUS/252 helper-consistency audit, isolating the missing 20-Nov holiday in cdr_anbima, validating WLA 3,144/3,144 after the patch, and moving the Data Freeze Gate to the corporate-pricing/BVAL/no-fill-forward rule.</t>
        </is>
      </c>
    </row>
    <row r="60" ht="46" customHeight="1" s="40">
      <c r="A60" s="1" t="inlineStr">
        <is>
          <t>v28 Change Log</t>
        </is>
      </c>
      <c r="B60" s="43" t="inlineStr">
        <is>
          <t>Changes introduced on 7-Oct-2026 after closing the issuer-rating evidence audit, freezing ratings as descriptive rather than baseline controls, reconfirming the BCB SGS 13762 fiscal specification, recording the rating audit workbooks/commit, and moving the Data Freeze Gate to the reproducible panel-generation and validation step.</t>
        </is>
      </c>
    </row>
    <row r="61" ht="46" customHeight="1" s="40">
      <c r="A61" s="1" t="inlineStr">
        <is>
          <t>v29 Change Log</t>
        </is>
      </c>
      <c r="B61" s="43" t="inlineStr">
        <is>
          <t>Changes introduced on 9-Oct-2026 after materially advancing the reproducible panel builder, documenting the revised-sample timing/fallback results, reconfirming the frozen sovereign metadata/YAS sources, and identifying a new WP-06 historical nominal sovereign coverage/mapping blocker that was not tested by the earlier 582/582 WP-02 arithmetic validation.</t>
        </is>
      </c>
    </row>
    <row r="62" ht="46" customHeight="1" s="40">
      <c r="A62" s="1" t="inlineStr">
        <is>
          <t>v30 Change Log</t>
        </is>
      </c>
      <c r="B62" s="43" t="inlineStr">
        <is>
          <t>Changes introduced on 9-Oct-2026 after implementing the frozen sovereign mapping and public-debt L2 timing, writing/reconciling the 4,648-row candidate panel, passing the Data Freeze Gate, and committing the reproducible econometrics panel under 23435a4.</t>
        </is>
      </c>
    </row>
  </sheetData>
  <mergeCells count="22">
    <mergeCell ref="B6:E6"/>
    <mergeCell ref="B30:E30"/>
    <mergeCell ref="B33:E33"/>
    <mergeCell ref="A1:E1"/>
    <mergeCell ref="B5:E5"/>
    <mergeCell ref="B36:E36"/>
    <mergeCell ref="B32:E32"/>
    <mergeCell ref="B35:E35"/>
    <mergeCell ref="B7:E7"/>
    <mergeCell ref="B47:E47"/>
    <mergeCell ref="B31:E31"/>
    <mergeCell ref="B27:E27"/>
    <mergeCell ref="A26:E26"/>
    <mergeCell ref="A2:E2"/>
    <mergeCell ref="A4:E4"/>
    <mergeCell ref="B8:E8"/>
    <mergeCell ref="A10:E10"/>
    <mergeCell ref="A19:E19"/>
    <mergeCell ref="B29:E29"/>
    <mergeCell ref="B37:E37"/>
    <mergeCell ref="B28:E28"/>
    <mergeCell ref="B34:E34"/>
  </mergeCells>
  <pageMargins left="0.7" right="0.7" top="0.75" bottom="0.75" header="0.3" footer="0.3"/>
</worksheet>
</file>

<file path=xl/worksheets/sheet2.xml><?xml version="1.0" encoding="utf-8"?>
<worksheet xmlns="http://schemas.openxmlformats.org/spreadsheetml/2006/main">
  <sheetPr>
    <tabColor rgb="FF0F6B78"/>
    <outlinePr summaryBelow="1" summaryRight="1"/>
    <pageSetUpPr/>
  </sheetPr>
  <dimension ref="A1:G40"/>
  <sheetViews>
    <sheetView showGridLines="0" workbookViewId="0">
      <selection activeCell="A1" sqref="A1"/>
    </sheetView>
  </sheetViews>
  <sheetFormatPr baseColWidth="8" defaultRowHeight="14.5"/>
  <cols>
    <col width="27" customWidth="1" style="40" min="1" max="1"/>
    <col width="18" customWidth="1" style="40" min="2" max="2"/>
    <col width="34" customWidth="1" style="40" min="3" max="3"/>
    <col width="4" customWidth="1" style="40" min="4" max="4"/>
    <col width="31" customWidth="1" style="40" min="5" max="5"/>
    <col width="18" customWidth="1" style="40" min="6" max="6"/>
    <col width="36" customWidth="1" style="40" min="7" max="7"/>
  </cols>
  <sheetData>
    <row r="1" ht="26" customHeight="1" s="40">
      <c r="A1" s="45" t="inlineStr">
        <is>
          <t>Revision Dashboard</t>
        </is>
      </c>
    </row>
    <row r="2" ht="78" customHeight="1" s="40">
      <c r="A2" s="48" t="inlineStr">
        <is>
          <t>Formula-driven from the Master Matrix, Revision Tracker and Process &amp; Deadlines. Updated 9-Oct-2026 after the Econometric Panel Data Freeze Gate PASSED. The reproducible builder now writes panel_main_and_robustness_rebuilt.xlsx with 4,648 rows, 19 columns, 103 bonds and 48 issuers while leaving the legacy 4,229-row panel untouched. BCB SGS 13762 uses the frozen uniform L2 timing. Sovereign Risk (BRL) retains the closed WP-02 LTN/NTN-F-vs-DI definition and now has a documented same-date panel mapping: 3,918 rows populated from 2016 onward and 730 pre-2016 rows intentionally missing, with no backward time extrapolation. Full overlap reconciliation passed and the reproducible package was committed as 23435a4. CURRENT: WP-07 — reset inference to the single bond-FE / Driscoll-Kraay table, then execute WP-08 targeted robustness.</t>
        </is>
      </c>
    </row>
    <row r="4" ht="22" customHeight="1" s="40">
      <c r="A4" s="39" t="inlineStr">
        <is>
          <t>Issue portfolio</t>
        </is>
      </c>
    </row>
    <row r="5" ht="34" customHeight="1" s="40">
      <c r="A5" s="3" t="inlineStr">
        <is>
          <t>Metric</t>
        </is>
      </c>
      <c r="B5" s="3" t="inlineStr">
        <is>
          <t>Count</t>
        </is>
      </c>
      <c r="C5" s="3" t="inlineStr">
        <is>
          <t>Meaning</t>
        </is>
      </c>
      <c r="D5" s="3" t="n"/>
      <c r="E5" s="3" t="inlineStr">
        <is>
          <t>Martin position</t>
        </is>
      </c>
      <c r="F5" s="3" t="inlineStr">
        <is>
          <t>Count</t>
        </is>
      </c>
      <c r="G5" s="3" t="inlineStr">
        <is>
          <t>Meaning</t>
        </is>
      </c>
    </row>
    <row r="6" ht="28" customHeight="1" s="40">
      <c r="A6" s="4" t="inlineStr">
        <is>
          <t>Total master issues</t>
        </is>
      </c>
      <c r="B6" s="5">
        <f>COUNTA('Master Matrix'!A4:A200)</f>
        <v/>
      </c>
      <c r="C6" s="4" t="inlineStr">
        <is>
          <t>Distinct consolidated issues.</t>
        </is>
      </c>
      <c r="D6" s="4" t="n"/>
      <c r="E6" s="4" t="inlineStr">
        <is>
          <t>Agrees / strongly agrees</t>
        </is>
      </c>
      <c r="F6" s="5">
        <f>COUNTIF('Master Matrix'!H4:H200,E6)</f>
        <v/>
      </c>
      <c r="G6" s="4" t="inlineStr">
        <is>
          <t>Explicitly endorsed.</t>
        </is>
      </c>
    </row>
    <row r="7" ht="28" customHeight="1" s="40">
      <c r="A7" s="4" t="inlineStr">
        <is>
          <t>Critical priority</t>
        </is>
      </c>
      <c r="B7" s="5">
        <f>COUNTIF('Master Matrix'!D4:D200,"Critical")</f>
        <v/>
      </c>
      <c r="C7" s="4" t="inlineStr">
        <is>
          <t>Can affect acceptance or downstream results.</t>
        </is>
      </c>
      <c r="D7" s="4" t="n"/>
      <c r="E7" s="4" t="inlineStr">
        <is>
          <t>Partially agrees</t>
        </is>
      </c>
      <c r="F7" s="5">
        <f>COUNTIF('Master Matrix'!H4:H200,E7)</f>
        <v/>
      </c>
      <c r="G7" s="4" t="inlineStr">
        <is>
          <t>Accepted with scope limits.</t>
        </is>
      </c>
    </row>
    <row r="8" ht="28" customHeight="1" s="40">
      <c r="A8" s="4" t="inlineStr">
        <is>
          <t>Category A</t>
        </is>
      </c>
      <c r="B8" s="5">
        <f>COUNTIF('Master Matrix'!K4:K200,"A*")</f>
        <v/>
      </c>
      <c r="C8" s="4" t="inlineStr">
        <is>
          <t>Measurement/diagnostics/estimation.</t>
        </is>
      </c>
      <c r="D8" s="4" t="n"/>
      <c r="E8" s="4" t="inlineStr">
        <is>
          <t>Disagrees / not endorsed</t>
        </is>
      </c>
      <c r="F8" s="5">
        <f>COUNTIF('Master Matrix'!H4:H200,E8)</f>
        <v/>
      </c>
      <c r="G8" s="4" t="inlineStr">
        <is>
          <t>Response only or future research.</t>
        </is>
      </c>
    </row>
    <row r="9" ht="28" customHeight="1" s="40">
      <c r="A9" s="4" t="inlineStr">
        <is>
          <t>Category B</t>
        </is>
      </c>
      <c r="B9" s="5">
        <f>COUNTIF('Master Matrix'!K4:K200,"B*")</f>
        <v/>
      </c>
      <c r="C9" s="4" t="inlineStr">
        <is>
          <t>Clarification/reframing.</t>
        </is>
      </c>
      <c r="D9" s="4" t="n"/>
      <c r="E9" s="4" t="inlineStr">
        <is>
          <t>No explicit position</t>
        </is>
      </c>
      <c r="F9" s="5">
        <f>COUNTIF('Master Matrix'!H4:H200,E9)</f>
        <v/>
      </c>
      <c r="G9" s="4" t="inlineStr">
        <is>
          <t>No direct disposition.</t>
        </is>
      </c>
    </row>
    <row r="10" ht="28" customHeight="1" s="40">
      <c r="A10" s="4" t="inlineStr">
        <is>
          <t>Category C</t>
        </is>
      </c>
      <c r="B10" s="5">
        <f>COUNTIF('Master Matrix'!K4:K200,"C*")</f>
        <v/>
      </c>
      <c r="C10" s="4" t="inlineStr">
        <is>
          <t>Presentation/literature/documentation.</t>
        </is>
      </c>
      <c r="D10" s="4" t="n"/>
      <c r="E10" s="4" t="n"/>
      <c r="F10" s="5" t="n"/>
      <c r="G10" s="4" t="n"/>
    </row>
    <row r="11" ht="28" customHeight="1" s="40">
      <c r="A11" s="4" t="inlineStr">
        <is>
          <t>Category D</t>
        </is>
      </c>
      <c r="B11" s="5">
        <f>COUNTIF('Master Matrix'!K4:K200,"D*")</f>
        <v/>
      </c>
      <c r="C11" s="4" t="inlineStr">
        <is>
          <t>Optional or non-endorsed.</t>
        </is>
      </c>
      <c r="D11" s="4" t="n"/>
      <c r="E11" s="4" t="n"/>
      <c r="F11" s="5" t="n"/>
      <c r="G11" s="4" t="n"/>
    </row>
    <row r="12" ht="28" customHeight="1" s="40">
      <c r="A12" s="4" t="inlineStr">
        <is>
          <t>Changes required</t>
        </is>
      </c>
      <c r="B12" s="5">
        <f>COUNTIF('Master Matrix'!Q4:Q200,"Yes*")</f>
        <v/>
      </c>
      <c r="C12" s="4" t="inlineStr">
        <is>
          <t>Mandatory/minimum-scope changes.</t>
        </is>
      </c>
      <c r="D12" s="4" t="n"/>
      <c r="E12" s="4" t="n"/>
      <c r="F12" s="5" t="n"/>
      <c r="G12" s="4" t="n"/>
    </row>
    <row r="13" ht="28" customHeight="1" s="40">
      <c r="A13" s="4" t="inlineStr">
        <is>
          <t>Done</t>
        </is>
      </c>
      <c r="B13" s="5">
        <f>COUNTIF('Master Matrix'!R4:R200,"Done")</f>
        <v/>
      </c>
      <c r="C13" s="4" t="inlineStr">
        <is>
          <t>Completed master issues.</t>
        </is>
      </c>
      <c r="D13" s="4" t="n"/>
      <c r="E13" s="4" t="n"/>
      <c r="F13" s="5" t="n"/>
      <c r="G13" s="4" t="n"/>
    </row>
    <row r="15" ht="22" customHeight="1" s="40">
      <c r="A15" s="39" t="inlineStr">
        <is>
          <t>Critical workstreams - recommended order</t>
        </is>
      </c>
    </row>
    <row r="16" ht="34" customHeight="1" s="40">
      <c r="A16" s="3" t="inlineStr">
        <is>
          <t>Order</t>
        </is>
      </c>
      <c r="B16" s="3" t="inlineStr">
        <is>
          <t>Workstream</t>
        </is>
      </c>
      <c r="C16" s="3" t="inlineStr">
        <is>
          <t>Master issues</t>
        </is>
      </c>
      <c r="D16" s="46" t="inlineStr">
        <is>
          <t>Why</t>
        </is>
      </c>
      <c r="E16" s="55" t="n"/>
      <c r="F16" s="55" t="n"/>
      <c r="G16" s="55" t="n"/>
    </row>
    <row r="17" ht="31" customHeight="1" s="40">
      <c r="A17" s="4" t="n">
        <v>1</v>
      </c>
      <c r="B17" s="4" t="inlineStr">
        <is>
          <t>Correct spread construction - measurement audit closed</t>
        </is>
      </c>
      <c r="C17" s="4" t="inlineStr">
        <is>
          <t>MR-03</t>
        </is>
      </c>
      <c r="D17" s="41" t="inlineStr">
        <is>
          <t>Dependent-variable measurement audit completed; downstream regressions remain to be regenerated.</t>
        </is>
      </c>
      <c r="E17" s="56" t="n"/>
      <c r="F17" s="56" t="n"/>
      <c r="G17" s="56" t="n"/>
    </row>
    <row r="18" ht="31" customHeight="1" s="40">
      <c r="A18" s="4" t="n">
        <v>2</v>
      </c>
      <c r="B18" s="4" t="inlineStr">
        <is>
          <t>Sovereign Risk (BRL) construction - WP-02 closed; WP-06 panel mapping resolved/frozen</t>
        </is>
      </c>
      <c r="C18" s="4" t="inlineStr">
        <is>
          <t>MR-01 / MR-02</t>
        </is>
      </c>
      <c r="D18" s="41" t="inlineStr">
        <is>
          <t>WP-02 remains closed upstream: 252 LTN + 330 NTN-F = 582 sovereign observations validated against same-date exact-tenor DI, geometric bps, exact-node guard, pytest 5/5 and commit b551414. WP-06 now supplies the panel mapping without reviving the legacy synthetic-CDS/latest-curve mapper: same-date mapping only; flat-forward interpolation between tenor nodes; endpoint-flat mapping outside the contemporaneous tenor range; single-node flat mapping when only one nominal bond is available. No backward time extrapolation into 2010-2015. Result: 3,918 populated bond-dates and 730 documented missing pre-2016 rows.</t>
        </is>
      </c>
      <c r="E18" s="56" t="n"/>
      <c r="F18" s="56" t="n"/>
      <c r="G18" s="56" t="n"/>
    </row>
    <row r="19" ht="31" customHeight="1" s="40">
      <c r="A19" s="4" t="n">
        <v>3</v>
      </c>
      <c r="B19" s="4" t="inlineStr">
        <is>
          <t>Issue-size identification - closed (WP-03)</t>
        </is>
      </c>
      <c r="C19" s="4" t="inlineStr">
        <is>
          <t>MR-14</t>
        </is>
      </c>
      <c r="D19" s="41" t="inlineStr">
        <is>
          <t>Closed 30-Sep: amount_issued_to_bs_tot_asset reconstructed for 4,229/4,229 observations; 98/103 bonds (95.15%) vary within bond; variable retained in bond FE; ‰ units and relative-size interpretation documented; one-quarter-lagged denominator reserved as robustness.</t>
        </is>
      </c>
      <c r="E19" s="56" t="n"/>
      <c r="F19" s="56" t="n"/>
      <c r="G19" s="56" t="n"/>
    </row>
    <row r="20" ht="130" customHeight="1" s="40">
      <c r="A20" s="4" t="n">
        <v>4</v>
      </c>
      <c r="B20" s="4" t="inlineStr">
        <is>
          <t>Baseline explanatory-variable audits / Data Freeze Gate - PASSED</t>
        </is>
      </c>
      <c r="C20" s="4" t="inlineStr">
        <is>
          <t>Reproducible 4,648 x 19 panel generated, reconciled and committed; legacy panel preserved</t>
        </is>
      </c>
      <c r="D20" s="41" t="inlineStr">
        <is>
          <t>Data Freeze PASS: rebuilt panel has 4,648 rows, 19 columns, 103 bonds, 48 issuers, 0 duplicate bond-month keys and complete baseline coverage except the documented 730 pre-2016 sovereign rows. SGS 13762 uniform L2 timing is implemented. Sample bridge versus legacy: 4,226 common bond-months, 422 new rows, three intentional AN275276 Corp removals (May-Jul 2017; revised ANDE history starts 29-Aug-2017), net +419. Metadata and VIX/Fed3M/USD-BRL/GDP match exactly on common rows; relative issue size matches exactly; accounting and maturity differences follow frozen timing/day-count rules; spread, fiscal and sovereign changes are intentional methodology revisions. Builder + candidate + required inputs committed as 23435a4.</t>
        </is>
      </c>
      <c r="E20" s="56" t="n"/>
      <c r="F20" s="56" t="n"/>
      <c r="G20" s="56" t="n"/>
    </row>
    <row r="21" ht="31" customHeight="1" s="40">
      <c r="A21" s="4" t="n">
        <v>5</v>
      </c>
      <c r="B21" s="4" t="inlineStr">
        <is>
          <t>Single DK results table and inference reset - CURRENT (WP-07)</t>
        </is>
      </c>
      <c r="C21" s="4" t="inlineStr">
        <is>
          <t>MR-16 / MR-17 / MR-18 / MR-24</t>
        </is>
      </c>
      <c r="D21" s="41" t="inlineStr">
        <is>
          <t>Data Freeze has passed. CURRENT: audit the exact bond-FE / Driscoll-Kraay implementation, lock lag and finite-sample choices, document FE coefficient estimation versus DK covariance/inference, and rerun the four-model core table on the frozen rebuilt panel. Keep plain FE/PCSE out of the main table; retain them only as qualified diagnostics/appendix if useful. Then execute WP-08 targeted robustness, including Brazil 3M DI variants. Target package for Martin remains 10-Oct-2026.</t>
        </is>
      </c>
      <c r="E21" s="56" t="n"/>
      <c r="F21" s="56" t="n"/>
      <c r="G21" s="56" t="n"/>
    </row>
    <row r="22" ht="31" customHeight="1" s="40">
      <c r="A22" s="4" t="n">
        <v>6</v>
      </c>
      <c r="B22" s="4" t="inlineStr">
        <is>
          <t>Ratings evidence / bounded heterogeneity response - EVIDENCE AUDIT CLOSED</t>
        </is>
      </c>
      <c r="C22" s="4" t="inlineStr">
        <is>
          <t>MR-06 / MR-07</t>
        </is>
      </c>
      <c r="D22" s="41" t="inlineStr">
        <is>
          <t>Bloomberg point-in-time rating audit completed on the exact 4,229 bond-month sample using bond_id + obs_date overrides. Global LT local-currency issuer fields are too sparse for a baseline control (&gt;=1 usable agency 41.6%; 41/103 bonds, 17/48 legal issuers). Brazilian national-scale LT issuer fields provide broader complementary descriptive coverage (&gt;=1 agency 75.8%; 84/103 bonds, 37/48 issuers) but are a distinct scale and must not be mixed with global ratings. Agencies remain separate; no silent parent/issue fallback or synthetic composite. Primary use is the issuer/company table, appendix and jury response. Extra interaction regressions remain optional only if later powered and useful. Audit files stored under datos_y_modelos/db/ratings/; commit b087203.</t>
        </is>
      </c>
      <c r="E22" s="56" t="n"/>
      <c r="F22" s="56" t="n"/>
      <c r="G22" s="56" t="n"/>
    </row>
    <row r="23" ht="31" customHeight="1" s="40">
      <c r="A23" s="4" t="n">
        <v>7</v>
      </c>
      <c r="B23" s="4" t="inlineStr">
        <is>
          <t>Hypothesis-result/sign rewrite</t>
        </is>
      </c>
      <c r="C23" s="4" t="inlineStr">
        <is>
          <t>MR-19 / MR-30 / MR-31 / MR-32</t>
        </is>
      </c>
      <c r="D23" s="41" t="inlineStr">
        <is>
          <t>Daniel's valid contribution is primarily expositional and follows empirical freeze.</t>
        </is>
      </c>
      <c r="E23" s="56" t="n"/>
      <c r="F23" s="56" t="n"/>
      <c r="G23" s="56" t="n"/>
    </row>
    <row r="24" ht="31" customHeight="1" s="40">
      <c r="A24" s="4" t="n">
        <v>8</v>
      </c>
      <c r="B24" s="4" t="inlineStr">
        <is>
          <t>Replication and resubmission</t>
        </is>
      </c>
      <c r="C24" s="4" t="inlineStr">
        <is>
          <t>MR-27</t>
        </is>
      </c>
      <c r="D24" s="41" t="inlineStr">
        <is>
          <t>Required alongside the revised thesis.</t>
        </is>
      </c>
      <c r="E24" s="42" t="n"/>
      <c r="F24" s="42" t="n"/>
      <c r="G24" s="42" t="n"/>
    </row>
    <row r="25" ht="22" customHeight="1" s="40">
      <c r="A25" s="39" t="inlineStr">
        <is>
          <t>Live revision status</t>
        </is>
      </c>
    </row>
    <row r="26" ht="30" customHeight="1" s="40">
      <c r="A26" s="1" t="inlineStr">
        <is>
          <t>Current package</t>
        </is>
      </c>
      <c r="B26" s="44">
        <f>IFERROR(INDEX('Revision Tracker'!B12:B100,MATCH("In progress",'Revision Tracker'!J12:J100,0)),"")</f>
        <v/>
      </c>
    </row>
    <row r="27" ht="30" customHeight="1" s="40">
      <c r="A27" s="1" t="inlineStr">
        <is>
          <t>Current task</t>
        </is>
      </c>
      <c r="B27" s="44">
        <f>IFERROR(INDEX('Revision Tracker'!E12:E100,MATCH("In progress",'Revision Tracker'!J12:J100,0)),"")</f>
        <v/>
      </c>
    </row>
    <row r="28" ht="30" customHeight="1" s="40">
      <c r="A28" s="1" t="inlineStr">
        <is>
          <t>Completed packages</t>
        </is>
      </c>
      <c r="B28" s="44">
        <f>COUNTIF('Revision Tracker'!J12:J100,"Done")</f>
        <v/>
      </c>
      <c r="C28" s="43" t="inlineStr">
        <is>
          <t>of 16</t>
        </is>
      </c>
    </row>
    <row r="29" ht="30" customHeight="1" s="40">
      <c r="A29" s="1" t="inlineStr">
        <is>
          <t>Overall progress</t>
        </is>
      </c>
      <c r="B29" s="7">
        <f>B28/16</f>
        <v/>
      </c>
      <c r="C29" s="43" t="n"/>
    </row>
    <row r="30" ht="30" customHeight="1" s="40">
      <c r="A30" s="1" t="inlineStr">
        <is>
          <t>Current gate</t>
        </is>
      </c>
      <c r="B30" s="44">
        <f>IFERROR(INDEX('Revision Tracker'!K12:K100,MATCH("In progress",'Revision Tracker'!J12:J100,0)),"")</f>
        <v/>
      </c>
    </row>
    <row r="32" ht="22" customHeight="1" s="40">
      <c r="A32" s="39" t="inlineStr">
        <is>
          <t>Institutional process status</t>
        </is>
      </c>
    </row>
    <row r="33" ht="28" customHeight="1" s="40">
      <c r="A33" s="1" t="inlineStr">
        <is>
          <t>Third report</t>
        </is>
      </c>
      <c r="B33" s="43">
        <f>'Process &amp; Deadlines'!B5</f>
        <v/>
      </c>
    </row>
    <row r="34" ht="28" customHeight="1" s="40">
      <c r="A34" s="1" t="inlineStr">
        <is>
          <t>Daniel resolution</t>
        </is>
      </c>
      <c r="B34" s="43">
        <f>'Process &amp; Deadlines'!B6</f>
        <v/>
      </c>
    </row>
    <row r="35" ht="28" customHeight="1" s="40">
      <c r="A35" s="1" t="inlineStr">
        <is>
          <t>Director review</t>
        </is>
      </c>
      <c r="B35" s="43">
        <f>'Process &amp; Deadlines'!B7</f>
        <v/>
      </c>
    </row>
    <row r="36" ht="28" customHeight="1" s="40">
      <c r="A36" s="1" t="inlineStr">
        <is>
          <t>Current branch</t>
        </is>
      </c>
      <c r="B36" s="43">
        <f>'Process &amp; Deadlines'!B8</f>
        <v/>
      </c>
    </row>
    <row r="37" ht="28" customHeight="1" s="40">
      <c r="A37" s="1" t="inlineStr">
        <is>
          <t>Official due date</t>
        </is>
      </c>
      <c r="B37" s="43">
        <f>'Process &amp; Deadlines'!B9</f>
        <v/>
      </c>
    </row>
    <row r="38" ht="28" customHeight="1" s="40">
      <c r="A38" s="1" t="inlineStr">
        <is>
          <t>Days remaining</t>
        </is>
      </c>
      <c r="B38" s="43">
        <f>'Process &amp; Deadlines'!B10</f>
        <v/>
      </c>
    </row>
    <row r="39" ht="28" customHeight="1" s="40">
      <c r="A39" s="1" t="inlineStr">
        <is>
          <t>Next formal step</t>
        </is>
      </c>
      <c r="B39" s="43">
        <f>'Process &amp; Deadlines'!B11</f>
        <v/>
      </c>
    </row>
    <row r="40" ht="31" customHeight="1" s="40">
      <c r="A40" s="1" t="inlineStr">
        <is>
          <t>Seminar table target</t>
        </is>
      </c>
      <c r="B40" s="43">
        <f>'Process &amp; Deadlines'!B13</f>
        <v/>
      </c>
    </row>
  </sheetData>
  <mergeCells count="27">
    <mergeCell ref="A32:G32"/>
    <mergeCell ref="D18:G18"/>
    <mergeCell ref="A4:G4"/>
    <mergeCell ref="B38:G38"/>
    <mergeCell ref="D23:G23"/>
    <mergeCell ref="B34:G34"/>
    <mergeCell ref="C29:G29"/>
    <mergeCell ref="B37:G37"/>
    <mergeCell ref="D20:G20"/>
    <mergeCell ref="B40:G40"/>
    <mergeCell ref="A15:G15"/>
    <mergeCell ref="D19:G19"/>
    <mergeCell ref="B30:G30"/>
    <mergeCell ref="B33:G33"/>
    <mergeCell ref="D22:G22"/>
    <mergeCell ref="A1:G1"/>
    <mergeCell ref="B36:G36"/>
    <mergeCell ref="B35:G35"/>
    <mergeCell ref="D21:G21"/>
    <mergeCell ref="B26:G26"/>
    <mergeCell ref="A25:G25"/>
    <mergeCell ref="D17:G17"/>
    <mergeCell ref="D16:G16"/>
    <mergeCell ref="C28:G28"/>
    <mergeCell ref="B27:G27"/>
    <mergeCell ref="A2:G2"/>
    <mergeCell ref="B39:G39"/>
  </mergeCells>
  <conditionalFormatting sqref="B29">
    <cfRule type="dataBar" priority="1">
      <dataBar>
        <cfvo type="num" val="0"/>
        <cfvo type="num" val="1"/>
        <color rgb="FF0F6B78"/>
      </dataBar>
    </cfRule>
  </conditionalFormatting>
  <pageMargins left="0.7" right="0.7" top="0.75" bottom="0.75" header="0.3" footer="0.3"/>
</worksheet>
</file>

<file path=xl/worksheets/sheet3.xml><?xml version="1.0" encoding="utf-8"?>
<worksheet xmlns="http://schemas.openxmlformats.org/spreadsheetml/2006/main">
  <sheetPr>
    <tabColor rgb="FFF4B183"/>
    <outlinePr summaryBelow="1" summaryRight="1"/>
    <pageSetUpPr/>
  </sheetPr>
  <dimension ref="A1:H24"/>
  <sheetViews>
    <sheetView showGridLines="0" workbookViewId="0">
      <selection activeCell="A1" sqref="A1"/>
    </sheetView>
  </sheetViews>
  <sheetFormatPr baseColWidth="8" defaultRowHeight="14.5"/>
  <cols>
    <col width="10" customWidth="1" style="40" min="1" max="1"/>
    <col width="29" customWidth="1" style="40" min="2" max="2"/>
    <col width="31" customWidth="1" style="40" min="3" max="3"/>
    <col width="22" customWidth="1" style="40" min="4" max="4"/>
    <col width="27" customWidth="1" style="40" min="5" max="5"/>
    <col width="24" customWidth="1" style="40" min="6" max="6"/>
    <col width="19" customWidth="1" style="40" min="7" max="7"/>
    <col width="46" customWidth="1" style="40" min="8" max="8"/>
  </cols>
  <sheetData>
    <row r="1" ht="26" customHeight="1" s="40">
      <c r="A1" s="45" t="inlineStr">
        <is>
          <t>Institutional Process &amp; Deadlines</t>
        </is>
      </c>
    </row>
    <row r="2" ht="34" customHeight="1" s="40">
      <c r="A2" s="48" t="inlineStr">
        <is>
          <t>Official generic time windows plus project-specific controls. Enter the exact official resubmission deadline when confirmed.</t>
        </is>
      </c>
    </row>
    <row r="4" ht="22" customHeight="1" s="40">
      <c r="A4" s="39" t="inlineStr">
        <is>
          <t>Current project control</t>
        </is>
      </c>
    </row>
    <row r="5" ht="30" customHeight="1" s="40">
      <c r="A5" s="1" t="inlineStr">
        <is>
          <t>Third jury report received</t>
        </is>
      </c>
      <c r="B5" s="43" t="inlineStr">
        <is>
          <t>Yes - Daniel Milia report dated 18-Sep-2026</t>
        </is>
      </c>
    </row>
    <row r="6" ht="30" customHeight="1" s="40">
      <c r="A6" s="1" t="inlineStr">
        <is>
          <t>Daniel formal resolution</t>
        </is>
      </c>
      <c r="B6" s="43" t="inlineStr">
        <is>
          <t>Pasa a Defensa (favorable)</t>
        </is>
      </c>
    </row>
    <row r="7" ht="30" customHeight="1" s="40">
      <c r="A7" s="1" t="inlineStr">
        <is>
          <t>Director review of Daniel</t>
        </is>
      </c>
      <c r="B7" s="43" t="inlineStr">
        <is>
          <t>Completed 24-Sep-2026 - less substantive; selective exposition/diagnostics/bibliography changes</t>
        </is>
      </c>
    </row>
    <row r="8" ht="30" customHeight="1" s="40">
      <c r="A8" s="1" t="inlineStr">
        <is>
          <t>Current formal branch</t>
        </is>
      </c>
      <c r="B8" s="43" t="inlineStr">
        <is>
          <t>Awaiting official confirmation</t>
        </is>
      </c>
    </row>
    <row r="9" ht="30" customHeight="1" s="40">
      <c r="A9" s="1" t="inlineStr">
        <is>
          <t>Official resubmission deadline</t>
        </is>
      </c>
      <c r="B9" s="49" t="n"/>
    </row>
    <row r="10" ht="30" customHeight="1" s="40">
      <c r="A10" s="1" t="inlineStr">
        <is>
          <t>Days remaining</t>
        </is>
      </c>
      <c r="B10" s="43">
        <f>IF(B9="","",B9-TODAY())</f>
        <v/>
      </c>
    </row>
    <row r="11" ht="30" customHeight="1" s="40">
      <c r="A11" s="1" t="inlineStr">
        <is>
          <t>Next formal step</t>
        </is>
      </c>
      <c r="B11" s="43" t="inlineStr">
        <is>
          <t>Confirm Ailin and Maximo formal resolutions, exact due date and whether a revised filing is formally required.</t>
        </is>
      </c>
    </row>
    <row r="12" ht="30" customHeight="1" s="40">
      <c r="A12" s="1" t="inlineStr">
        <is>
          <t>Control note</t>
        </is>
      </c>
      <c r="B12" s="43" t="inlineStr">
        <is>
          <t>The user reports that a deadline exists, but the exact date is not in the process sheet.</t>
        </is>
      </c>
    </row>
    <row r="13" ht="34" customHeight="1" s="40">
      <c r="A13" s="1" t="inlineStr">
        <is>
          <t>Paper/seminar table target</t>
        </is>
      </c>
      <c r="B13" s="43" t="inlineStr">
        <is>
          <t>10-Oct-2026 - send Martin updated corrected FE-Driscoll-Kraay regressions (core models plus agreed robustness checks) and an updated, more visual/concise presentation. Planned joint review: week of 13-Oct-2026; refine presentation/abstract after seeing the new results.</t>
        </is>
      </c>
    </row>
    <row r="14" ht="22" customHeight="1" s="40">
      <c r="A14" s="39" t="inlineStr">
        <is>
          <t>Official process and generic time windows</t>
        </is>
      </c>
    </row>
    <row r="15" ht="34" customHeight="1" s="40">
      <c r="A15" s="3" t="inlineStr">
        <is>
          <t>Step</t>
        </is>
      </c>
      <c r="B15" s="3" t="inlineStr">
        <is>
          <t>Process stage</t>
        </is>
      </c>
      <c r="C15" s="3" t="inlineStr">
        <is>
          <t>Trigger</t>
        </is>
      </c>
      <c r="D15" s="3" t="inlineStr">
        <is>
          <t>Official time limit</t>
        </is>
      </c>
      <c r="E15" s="3" t="inlineStr">
        <is>
          <t>Current relevance</t>
        </is>
      </c>
      <c r="F15" s="3" t="inlineStr">
        <is>
          <t>Owner</t>
        </is>
      </c>
      <c r="G15" s="3" t="inlineStr">
        <is>
          <t>Status</t>
        </is>
      </c>
      <c r="H15" s="3" t="inlineStr">
        <is>
          <t>Evidence / next action</t>
        </is>
      </c>
    </row>
    <row r="16" ht="44" customHeight="1" s="40">
      <c r="A16" s="4" t="n">
        <v>1</v>
      </c>
      <c r="B16" s="4" t="inlineStr">
        <is>
          <t>PTFM evaluation</t>
        </is>
      </c>
      <c r="C16" s="4" t="inlineStr">
        <is>
          <t>Formal receipt of project proposal</t>
        </is>
      </c>
      <c r="D16" s="4" t="inlineStr">
        <is>
          <t>30 days</t>
        </is>
      </c>
      <c r="E16" s="4" t="inlineStr">
        <is>
          <t>Historical - not current</t>
        </is>
      </c>
      <c r="F16" s="4" t="inlineStr">
        <is>
          <t>Academic authority</t>
        </is>
      </c>
      <c r="G16" s="4" t="inlineStr">
        <is>
          <t>Not current</t>
        </is>
      </c>
      <c r="H16" s="4" t="inlineStr">
        <is>
          <t>Included for completeness.</t>
        </is>
      </c>
    </row>
    <row r="17" ht="44" customHeight="1" s="40">
      <c r="A17" s="4" t="n">
        <v>2</v>
      </c>
      <c r="B17" s="4" t="inlineStr">
        <is>
          <t>PTFM correction, if required</t>
        </is>
      </c>
      <c r="C17" s="4" t="inlineStr">
        <is>
          <t>Authority requests project corrections</t>
        </is>
      </c>
      <c r="D17" s="4" t="inlineStr">
        <is>
          <t>1 to 3 months</t>
        </is>
      </c>
      <c r="E17" s="4" t="inlineStr">
        <is>
          <t>Historical - not current</t>
        </is>
      </c>
      <c r="F17" s="4" t="inlineStr">
        <is>
          <t>Student + director</t>
        </is>
      </c>
      <c r="G17" s="4" t="inlineStr">
        <is>
          <t>Not current</t>
        </is>
      </c>
      <c r="H17" s="4" t="inlineStr">
        <is>
          <t>Not the current thesis-evaluation branch.</t>
        </is>
      </c>
    </row>
    <row r="18" ht="44" customHeight="1" s="40">
      <c r="A18" s="4" t="n">
        <v>3</v>
      </c>
      <c r="B18" s="4" t="inlineStr">
        <is>
          <t>TFM review / jury convocation</t>
        </is>
      </c>
      <c r="C18" s="4" t="inlineStr">
        <is>
          <t>Formal receipt of TFM</t>
        </is>
      </c>
      <c r="D18" s="4" t="inlineStr">
        <is>
          <t>45 days</t>
        </is>
      </c>
      <c r="E18" s="4" t="inlineStr">
        <is>
          <t>Completed</t>
        </is>
      </c>
      <c r="F18" s="4" t="inlineStr">
        <is>
          <t>Academic authority</t>
        </is>
      </c>
      <c r="G18" s="4" t="inlineStr">
        <is>
          <t>Completed</t>
        </is>
      </c>
      <c r="H18" s="4" t="inlineStr">
        <is>
          <t>The thesis was sent to three jurors.</t>
        </is>
      </c>
    </row>
    <row r="19" ht="44" customHeight="1" s="40">
      <c r="A19" s="4" t="n">
        <v>4</v>
      </c>
      <c r="B19" s="4" t="inlineStr">
        <is>
          <t>Preliminary individual reports</t>
        </is>
      </c>
      <c r="C19" s="4" t="inlineStr">
        <is>
          <t>Jurors receive the TFM</t>
        </is>
      </c>
      <c r="D19" s="4" t="inlineStr">
        <is>
          <t>45 days</t>
        </is>
      </c>
      <c r="E19" s="4" t="inlineStr">
        <is>
          <t>Completed - all three reports received</t>
        </is>
      </c>
      <c r="F19" s="4" t="inlineStr">
        <is>
          <t>Each juror</t>
        </is>
      </c>
      <c r="G19" s="4" t="inlineStr">
        <is>
          <t>Completed</t>
        </is>
      </c>
      <c r="H19" s="4" t="inlineStr">
        <is>
          <t>Daniel is the third report; dated 18-Sep-2026 and favorable.</t>
        </is>
      </c>
    </row>
    <row r="20" ht="44" customHeight="1" s="40">
      <c r="A20" s="4" t="n">
        <v>5</v>
      </c>
      <c r="B20" s="4" t="inlineStr">
        <is>
          <t>Revision and resubmission, if formally required</t>
        </is>
      </c>
      <c r="C20" s="4" t="inlineStr">
        <is>
          <t>One or more resolutions require revision</t>
        </is>
      </c>
      <c r="D20" s="4" t="inlineStr">
        <is>
          <t>1 to 4 months, set by authority</t>
        </is>
      </c>
      <c r="E20" s="4" t="inlineStr">
        <is>
          <t>Current only if official branch is revision</t>
        </is>
      </c>
      <c r="F20" s="4" t="inlineStr">
        <is>
          <t>Student + director</t>
        </is>
      </c>
      <c r="G20" s="4" t="inlineStr">
        <is>
          <t>Pending confirmation</t>
        </is>
      </c>
      <c r="H20" s="4" t="inlineStr">
        <is>
          <t>Enter the exact date in C9.</t>
        </is>
      </c>
    </row>
    <row r="21" ht="44" customHeight="1" s="40">
      <c r="A21" s="4" t="n">
        <v>6</v>
      </c>
      <c r="B21" s="4" t="inlineStr">
        <is>
          <t>Second preliminary reports</t>
        </is>
      </c>
      <c r="C21" s="4" t="inlineStr">
        <is>
          <t>Revised TFM is formally resubmitted</t>
        </is>
      </c>
      <c r="D21" s="4" t="inlineStr">
        <is>
          <t>45 days</t>
        </is>
      </c>
      <c r="E21" s="4" t="inlineStr">
        <is>
          <t>Contingent on revision branch</t>
        </is>
      </c>
      <c r="F21" s="4" t="inlineStr">
        <is>
          <t>Each juror</t>
        </is>
      </c>
      <c r="G21" s="4" t="inlineStr">
        <is>
          <t>Not started</t>
        </is>
      </c>
      <c r="H21" s="4" t="inlineStr">
        <is>
          <t>Jurors decide whether the revised version can pass to defense.</t>
        </is>
      </c>
    </row>
    <row r="22" ht="44" customHeight="1" s="40">
      <c r="A22" s="4" t="n">
        <v>7</v>
      </c>
      <c r="B22" s="4" t="inlineStr">
        <is>
          <t>Oral and public defense</t>
        </is>
      </c>
      <c r="C22" s="4" t="inlineStr">
        <is>
          <t>Three favorable reports received</t>
        </is>
      </c>
      <c r="D22" s="4" t="inlineStr">
        <is>
          <t>Within 45 days</t>
        </is>
      </c>
      <c r="E22" s="4" t="inlineStr">
        <is>
          <t>Current if all three resolutions are favorable</t>
        </is>
      </c>
      <c r="F22" s="4" t="inlineStr">
        <is>
          <t>Program direction + student + jurors</t>
        </is>
      </c>
      <c r="G22" s="4" t="inlineStr">
        <is>
          <t>Pending confirmation</t>
        </is>
      </c>
      <c r="H22" s="4" t="inlineStr">
        <is>
          <t>Confirm Ailin/Maximo resolutions and coordinate defense date.</t>
        </is>
      </c>
    </row>
    <row r="24">
      <c r="A24" s="50" t="inlineStr">
        <is>
          <t>Source: Proceso de presentacion y evaluacion del Trabajo Final de Maestria o Especializacion, Res.CD No. 1313/23 (Sep-2023). Daniel status: Devolucion DM - Daniel Milia, 18-Sep-2026. Director guidance: WhatsApp 24-27 Sep-2026 plus Zoom meeting 2-Oct-2026, including DK/PCSE, VIX, liquidity, ratings, stale-price/BVAL treatment and the updated 10-Oct delivery / week-of-13-Oct review sequence. Estimation template: Tabla para nuevas estimaciones panel, 25-Sep-2026.</t>
        </is>
      </c>
    </row>
  </sheetData>
  <mergeCells count="14">
    <mergeCell ref="A4:H4"/>
    <mergeCell ref="B8:H8"/>
    <mergeCell ref="B9:H9"/>
    <mergeCell ref="B13:H13"/>
    <mergeCell ref="A24:H24"/>
    <mergeCell ref="A2:H2"/>
    <mergeCell ref="B12:H12"/>
    <mergeCell ref="B6:H6"/>
    <mergeCell ref="A14:H14"/>
    <mergeCell ref="B10:H10"/>
    <mergeCell ref="A1:H1"/>
    <mergeCell ref="B11:H11"/>
    <mergeCell ref="B7:H7"/>
    <mergeCell ref="B5:H5"/>
  </mergeCells>
  <pageMargins left="0.7" right="0.7" top="0.75" bottom="0.75" header="0.3" footer="0.3"/>
</worksheet>
</file>

<file path=xl/worksheets/sheet4.xml><?xml version="1.0" encoding="utf-8"?>
<worksheet xmlns="http://schemas.openxmlformats.org/spreadsheetml/2006/main">
  <sheetPr>
    <tabColor rgb="FF0F6B78"/>
    <outlinePr summaryBelow="1" summaryRight="1"/>
    <pageSetUpPr/>
  </sheetPr>
  <dimension ref="A1:L27"/>
  <sheetViews>
    <sheetView showGridLines="0" workbookViewId="0">
      <selection activeCell="A1" sqref="A1"/>
    </sheetView>
  </sheetViews>
  <sheetFormatPr baseColWidth="8" defaultRowHeight="14.5"/>
  <cols>
    <col width="7" customWidth="1" style="40" min="1" max="1"/>
    <col width="10" customWidth="1" style="40" min="2" max="2"/>
    <col width="17" customWidth="1" style="40" min="3" max="3"/>
    <col width="25" customWidth="1" style="40" min="4" max="4"/>
    <col width="36" customWidth="1" style="40" min="5" max="5"/>
    <col width="38" customWidth="1" style="40" min="6" max="6"/>
    <col width="34" customWidth="1" style="40" min="7" max="7"/>
    <col width="40" customWidth="1" style="40" min="8" max="8"/>
    <col width="28" customWidth="1" style="40" min="9" max="9"/>
    <col width="17" customWidth="1" style="40" min="10" max="10"/>
    <col width="46" customWidth="1" style="40" min="11" max="12"/>
  </cols>
  <sheetData>
    <row r="1" ht="26" customHeight="1" s="40">
      <c r="A1" s="45" t="inlineStr">
        <is>
          <t>TFM Jury Revision Tracker</t>
        </is>
      </c>
    </row>
    <row r="2" ht="78" customHeight="1" s="40">
      <c r="A2" s="48" t="inlineStr">
        <is>
          <t>Sixteen dependency-based work packages consolidate 34 master issues. Updated 9-Oct-2026 after closing WP-06 / the Econometric Panel Data Freeze Gate. The reproducible builder writes and validates a 4,648-row x 19-column panel (103 bonds, 48 issuers), implements the frozen SGS 13762 L2 fiscal timing and documented Sovereign Risk (BRL) mapping, and preserves the legacy workbook unchanged. Reconciliation passed and commit 23435a4 records the frozen package. CURRENT: WP-07 is In progress — reset inference to the single bond-FE / Driscoll-Kraay table. WP-08 follows with the director-requested core grid and targeted robustness.</t>
        </is>
      </c>
    </row>
    <row r="4" ht="28" customHeight="1" s="40">
      <c r="A4" s="1" t="inlineStr">
        <is>
          <t>Current package</t>
        </is>
      </c>
      <c r="B4" s="43">
        <f>IFERROR(INDEX(B12:B100,MATCH("In progress",J12:J100,0)),"")</f>
        <v/>
      </c>
    </row>
    <row r="5" ht="28" customHeight="1" s="40">
      <c r="A5" s="1" t="inlineStr">
        <is>
          <t>Current task</t>
        </is>
      </c>
      <c r="B5" s="43">
        <f>IFERROR(INDEX(E12:E100,MATCH("In progress",J12:J100,0)),"")</f>
        <v/>
      </c>
    </row>
    <row r="6" ht="28" customHeight="1" s="40">
      <c r="A6" s="1" t="inlineStr">
        <is>
          <t>Completed packages</t>
        </is>
      </c>
      <c r="B6" s="43">
        <f>COUNTIF(J12:J100,"Done")</f>
        <v/>
      </c>
    </row>
    <row r="7" ht="28" customHeight="1" s="40">
      <c r="A7" s="1" t="inlineStr">
        <is>
          <t>Overall progress</t>
        </is>
      </c>
      <c r="B7" s="51">
        <f>B6/16</f>
        <v/>
      </c>
    </row>
    <row r="8" ht="28" customHeight="1" s="40">
      <c r="A8" s="1" t="inlineStr">
        <is>
          <t>Current status</t>
        </is>
      </c>
      <c r="B8" s="43">
        <f>IFERROR(INDEX(J12:J100,MATCH("In progress",J12:J100,0)),"")</f>
        <v/>
      </c>
    </row>
    <row r="9" ht="28" customHeight="1" s="40">
      <c r="A9" s="1" t="inlineStr">
        <is>
          <t>Gate before moving on</t>
        </is>
      </c>
      <c r="B9" s="43">
        <f>IFERROR(INDEX(K12:K100,MATCH("In progress",J12:J100,0)),"")</f>
        <v/>
      </c>
    </row>
    <row r="11" ht="34" customHeight="1" s="40">
      <c r="A11" s="3" t="inlineStr">
        <is>
          <t>Seq.</t>
        </is>
      </c>
      <c r="B11" s="3" t="inlineStr">
        <is>
          <t>WP ID</t>
        </is>
      </c>
      <c r="C11" s="3" t="inlineStr">
        <is>
          <t>Phase</t>
        </is>
      </c>
      <c r="D11" s="3" t="inlineStr">
        <is>
          <t>Master issue IDs</t>
        </is>
      </c>
      <c r="E11" s="3" t="inlineStr">
        <is>
          <t>Work package</t>
        </is>
      </c>
      <c r="F11" s="3" t="inlineStr">
        <is>
          <t>Why this is sequenced here</t>
        </is>
      </c>
      <c r="G11" s="3" t="inlineStr">
        <is>
          <t>Thesis location(s)</t>
        </is>
      </c>
      <c r="H11" s="3" t="inlineStr">
        <is>
          <t>Concrete deliverable</t>
        </is>
      </c>
      <c r="I11" s="3" t="inlineStr">
        <is>
          <t>Dependencies</t>
        </is>
      </c>
      <c r="J11" s="3" t="inlineStr">
        <is>
          <t>Status</t>
        </is>
      </c>
      <c r="K11" s="3" t="inlineStr">
        <is>
          <t>Gate / acceptance criterion</t>
        </is>
      </c>
      <c r="L11" s="3" t="inlineStr">
        <is>
          <t>Working notes</t>
        </is>
      </c>
    </row>
    <row r="12" ht="72" customHeight="1" s="40">
      <c r="A12" s="8" t="n">
        <v>1</v>
      </c>
      <c r="B12" s="8" t="inlineStr">
        <is>
          <t>WP-01</t>
        </is>
      </c>
      <c r="C12" s="8" t="inlineStr">
        <is>
          <t>Measurement</t>
        </is>
      </c>
      <c r="D12" s="8" t="inlineStr">
        <is>
          <t>MR-03</t>
        </is>
      </c>
      <c r="E12" s="8" t="inlineStr">
        <is>
          <t>Recalculate the corporate spread using consistent compounding</t>
        </is>
      </c>
      <c r="F12" s="8" t="inlineStr">
        <is>
          <t>The dependent variable feeds every regression and conclusion.</t>
        </is>
      </c>
      <c r="G12" s="8" t="inlineStr">
        <is>
          <t>Sec. 2.2; Sec. 4.3; Sec. 4.5.2; Annex 8.7; all results</t>
        </is>
      </c>
      <c r="H12" s="8" t="inlineStr">
        <is>
          <t>Audited conventions; corrected spread series; old-vs-new comparison; unit tests.</t>
        </is>
      </c>
      <c r="I12" s="8" t="inlineStr">
        <is>
          <t>Submitted code/data and curve audit</t>
        </is>
      </c>
      <c r="J12" s="9" t="inlineStr">
        <is>
          <t>Done</t>
        </is>
      </c>
      <c r="K12" s="8" t="inlineStr">
        <is>
          <t>Approve formula, units, day-count, compounding and field types; benchmark/corporate inputs pass hand checks.</t>
        </is>
      </c>
      <c r="L12" s="10" t="inlineStr">
        <is>
          <t>Completed 25-Sep-2026: corrected the 2012-2013 NTN-B field contamination, revalidated the relevant government-curve inputs, checked corporate bond price/yield fields, and closed the corporate-spread measurement audit. Downstream estimates will be regenerated after WP-02.</t>
        </is>
      </c>
    </row>
    <row r="13" ht="72" customHeight="1" s="40">
      <c r="A13" s="4" t="n">
        <v>2</v>
      </c>
      <c r="B13" s="4" t="inlineStr">
        <is>
          <t>WP-02</t>
        </is>
      </c>
      <c r="C13" s="4" t="inlineStr">
        <is>
          <t>Measurement</t>
        </is>
      </c>
      <c r="D13" s="4" t="inlineStr">
        <is>
          <t>MR-01, MR-02</t>
        </is>
      </c>
      <c r="E13" s="4" t="inlineStr">
        <is>
          <t>Verify Sovereign Risk (BRL) construction, common-reference logic and terminology</t>
        </is>
      </c>
      <c r="F13" s="4" t="inlineStr">
        <is>
          <t>Martin confirmed the intended sovereign regressor and preferred two-spread transmission specification. The nominal sovereign implementation was validated end-to-end: LTN and NTN-F government yields are compared with the same-date DI reference curve at exact BUS/252 residual tenor. Thesis terminology and documentation were subsequently aligned, including the distinction between the nominal sovereign DI benchmark and the IPCA-real corporate benchmark.</t>
        </is>
      </c>
      <c r="G13" s="4" t="inlineStr">
        <is>
          <t>Secs. 2.2, 4.3, 4.5.1-4.5.3, 5.2.3; Annex 8.3 and 8.8-8.9</t>
        </is>
      </c>
      <c r="H13" s="4" t="inlineStr">
        <is>
          <t>COMPLETED: code/formula audit; 252 LTN + 330 NTN-F maturity-matched sovereign spreads; same-date exact-tenor DI benchmark; geometric annual-effective spread; exact-node interpolation guard; regression tests; variable rename to sovereign_spread_brl; removal of synthetic-CDS wording; explicit methodology/appendix formula; literature/two-spread rationale; corporate-IPCA versus nominal-DI indexation clarification; affected figures/tables relabeled.</t>
        </is>
      </c>
      <c r="I13" s="4" t="inlineStr">
        <is>
          <t>WP-01</t>
        </is>
      </c>
      <c r="J13" s="9" t="inlineStr">
        <is>
          <t>Done</t>
        </is>
      </c>
      <c r="K13" s="4" t="inlineStr">
        <is>
          <t>Corporate Spread is documented against the matched IPCA-real reference curve and sovereign_spread_brl against the matched nominal DI reference curve, each at the appropriate date/tenor/indexation. The thesis explains why the two spreads are modeled separately rather than collapsed into a direct corporate-minus-sovereign spread; CDS terminology is removed. Any final search for unintended USD CDS usage is a pre-estimation integrity check and does not reopen WP-02.</t>
        </is>
      </c>
      <c r="L13" s="10" t="inlineStr">
        <is>
          <t>Closed 29-Sep-2026. Nominal Sovereign Risk (BRL) implementation validated on 582/582 observations with 0 missing benchmarks and max absolute benchmark difference 5.33e-13 bp; spread arithmetic independently verified; BZDIOVRA cash + liquid DI futures + Pre x DI swaps; exact BUS/252 tenor; pytest 5/5; commit b551414 pushed. Canonical source governance reconfirmed 9-Oct-2026: domestic_sovereign_curve_brazil.xlsx = government-bond characteristics/metadata; govt_ya_ande.v3.xlsx = ANDE normalized government YAS yields (retaining the earlier NTN-B 2012-2013 field correction). Follow-up builder audit found no frozen rule for mapping the 582 nominal observations onto all 4,648 corporate bond-months and insufficient historical/tenor coverage in the current nominal universe. That is tracked under WP-06 and does not reopen the validated WP-02 spread formula/source decision.</t>
        </is>
      </c>
    </row>
    <row r="14" ht="72" customHeight="1" s="40">
      <c r="A14" s="4" t="n">
        <v>3</v>
      </c>
      <c r="B14" s="4" t="inlineStr">
        <is>
          <t>WP-03</t>
        </is>
      </c>
      <c r="C14" s="4" t="inlineStr">
        <is>
          <t>Data audit</t>
        </is>
      </c>
      <c r="D14" s="4" t="inlineStr">
        <is>
          <t>MR-14</t>
        </is>
      </c>
      <c r="E14" s="4" t="inlineStr">
        <is>
          <t>Audit amount_issued_to_bs_tot_asset and within-bond variation</t>
        </is>
      </c>
      <c r="F14" s="4" t="inlineStr">
        <is>
          <t>A time-invariant issue-size variable cannot be estimated in bond FE.</t>
        </is>
      </c>
      <c r="G14" s="4" t="inlineStr">
        <is>
          <t>Table 1 H6; Secs. 4.5.3 and 4.7; Table 3; Sec. 5.2.4; Annex 8.6.2 and Table 7; Figure 3</t>
        </is>
      </c>
      <c r="H14" s="4" t="inlineStr">
        <is>
          <t>COMPLETED: raw-field trace from AMT_ISSUED and issuer BS_TOT_ASSET; full-panel reconstruction; within-bond variation diagnostics; timing/scaling audit; retain/rename decision; one-quarter-lagged denominator robustness construction; thesis wording/table/figure alignment.</t>
        </is>
      </c>
      <c r="I14" s="4" t="inlineStr">
        <is>
          <t>Raw panel and construction code</t>
        </is>
      </c>
      <c r="J14" s="9" t="inlineStr">
        <is>
          <t>Done</t>
        </is>
      </c>
      <c r="K14" s="4" t="inlineStr">
        <is>
          <t>PASSED: 4,229/4,229 panel observations reconstructed from raw sources; 98/103 bonds (95.15%) have within-bond variation; the regressor is identified in bond FE; ‰ units, quarterly timing and interpretation are documented; lagged-quarter timing robustness is available.</t>
        </is>
      </c>
      <c r="L14" s="10" t="inlineStr">
        <is>
          <t>Closed 30-Sep-2026. The jury concern applies to AMT_ISSUED in levels, but the estimated variable is AMT_ISSUED / BS_TOT_ASSET. AMT_ISSUED is fixed by bond; quarterly issuer assets generate within-bond variation. Raw-source reconstruction matched all 4,229 panel observations essentially exactly. 98/103 bonds vary within bond; five very-short-history bonds do not. The stored scale is per-mille (‰). A one-quarter-lagged BS_TOT_ASSET version retains 4,223/4,229 observations, correlates 0.9918 with the original, and preserves 98/103 varying bonds; its six missing observations are limited to two Serena bonds in 2022Q1 due to unavailable 2021Q4 assets. Decision: retain the existing contemporaneous relative-size variable in the main specification, reserve the lagged denominator as robustness, and interpret the coefficient as relative issue size versus issuer scale—not as a change in original amount issued. Thesis edits were completed across H6, methodology/FE identification, results, conclusions, Tables 3/7, Figure 3 and Annex 8.6.2. 2-Oct director confirmation: the numerator is static but the quarterly asset denominator varies. Martin agreed the audited ratio can remain. Turnover/amount outstanding is conceptually closer to secondary-market liquidity, but for these illiquid Brazilian bonds it may contain many zeros and little useful time variation. Frame the retained variable as relative issue size / primary-market issuance-liquidity, not a clean secondary-market turnover measure.</t>
        </is>
      </c>
    </row>
    <row r="15" ht="72" customHeight="1" s="40">
      <c r="A15" s="4" t="n">
        <v>4</v>
      </c>
      <c r="B15" s="4" t="inlineStr">
        <is>
          <t>WP-04</t>
        </is>
      </c>
      <c r="C15" s="4" t="inlineStr">
        <is>
          <t>Variables</t>
        </is>
      </c>
      <c r="D15" s="4" t="inlineStr">
        <is>
          <t>MR-04</t>
        </is>
      </c>
      <c r="E15" s="4" t="inlineStr">
        <is>
          <t>Clarify SELIC baseline non-inclusion and run post-freeze Brazil 3M DI robustness checks</t>
        </is>
      </c>
      <c r="F15" s="4" t="inlineStr">
        <is>
          <t>SELIC anchors the short end of the local reference curve and its influence propagates through the curve; Martin's 3M Forward SELIC exercise is only a low-cost referee diagnostic, not a competing baseline specification.</t>
        </is>
      </c>
      <c r="G15" s="4" t="inlineStr">
        <is>
          <t>Secs. 3.1-3.3, 4.3, 4.5.3, 5.2-5.4, 6.1</t>
        </is>
      </c>
      <c r="H15" s="4" t="inlineStr">
        <is>
          <t>Dual-rationale note plus post-freeze robustness: add the Brazil 3M DI proxy to the finalized model and compare the agreed specifications with nominal FED3M retained versus omitted, under the specified FX/sovereign exclusions. Keep the domestic short-rate exercise separate from the baseline and report only if informative.</t>
        </is>
      </c>
      <c r="I15" s="4" t="inlineStr">
        <is>
          <t>WP-01; final curve definitions</t>
        </is>
      </c>
      <c r="J15" s="9" t="inlineStr">
        <is>
          <t>Deferred</t>
        </is>
      </c>
      <c r="K15" s="4" t="inlineStr">
        <is>
          <t>Baseline omission is explicit; the local-curve embedding of SELIC is explained; any SELIC 3M Forward check follows the required exclusions, is labeled referee-only and does not replace the preferred model.</t>
        </is>
      </c>
      <c r="L15" s="10" t="inlineStr">
        <is>
          <t>2-Oct meeting reconfirmed that the domestic 3M rate is a robustness exercise, not a baseline replacement. Data preparation is complete; run only after the Data Freeze Gate and core rerun. Include the with-FED3M / without-FED3M comparison in the 10-Oct package if the gate has passed.</t>
        </is>
      </c>
    </row>
    <row r="16" ht="72" customHeight="1" s="40">
      <c r="A16" s="4" t="n">
        <v>5</v>
      </c>
      <c r="B16" s="4" t="inlineStr">
        <is>
          <t>WP-05</t>
        </is>
      </c>
      <c r="C16" s="4" t="inlineStr">
        <is>
          <t>Jury response / Heterogeneity</t>
        </is>
      </c>
      <c r="D16" s="4" t="inlineStr">
        <is>
          <t>MR-06, MR-07</t>
        </is>
      </c>
      <c r="E16" s="4" t="inlineStr">
        <is>
          <t>Prepare local-currency ratings evidence; keep heterogeneity extensions bounded</t>
        </is>
      </c>
      <c r="F16" s="4" t="inlineStr">
        <is>
          <t>2-Oct guidance narrows the minimum reviewer response: ratings lag market spreads and are not the core object of the thesis; a descriptive local-currency issuer-rating table is sufficient to answer the point before considering extra regressions.</t>
        </is>
      </c>
      <c r="G16" s="4" t="inlineStr">
        <is>
          <t>Secs. 3.1, 3.3.2, 4.1, 4.3, 5.2.3, 6.1, 6.3</t>
        </is>
      </c>
      <c r="H16" s="4" t="inlineStr">
        <is>
          <t>Use point-in-time issuer-rating evidence in the issuer/company table or appendix. Global LT local-currency issuer ratings are the conceptually closest measure but have insufficient exact-sample coverage for a baseline control; Brazilian national-scale LT issuer ratings are retained as clearly labelled complementary descriptive evidence only. Preserve agencies separately, document source/date/missing rules, distinguish issuer vs issue and global vs national scale, and do not silently substitute ultimate-parent ratings. Optional heterogeneity estimation remains post-core.</t>
        </is>
      </c>
      <c r="I16" s="4" t="inlineStr">
        <is>
          <t>Final issuer list; Bloomberg PIT rating audit; source/timing and missing-value rules</t>
        </is>
      </c>
      <c r="J16" s="9" t="inlineStr">
        <is>
          <t>Done</t>
        </is>
      </c>
      <c r="K16" s="4" t="inlineStr">
        <is>
          <t>Minimum response satisfied at the data/method level: exact-sample issuer ratings and coverage are documented; ratings are not forced into the baseline FE-DK regression; global and national scales remain separate; extra heterogeneity is optional.</t>
        </is>
      </c>
      <c r="L16" s="10" t="inlineStr">
        <is>
          <t>7-Oct-2026 closure. Exact 4,229-row audit using bond_id + obs_date + RATING_AS_OF_DATE_OVERRIDE. Global LT LC usable coverage: S&amp;P 1,572 (37.2%), Moody's 360 (8.5%), Fitch 1,461 (34.5%); &gt;=1 agency 1,760 (41.6%), &gt;=2 1,273 (30.1%), all three 360 (8.5%); 41/103 bonds and 17/48 legal issuers ever rated. Brazilian national-scale usable coverage: S&amp;P 2,408 (56.9%), Moody's 542 (12.8%), Fitch 2,872 (67.9%); &gt;=1 agency 3,204 (75.8%), &gt;=2 2,105 (49.8%), all three 513 (12.1%); 84/103 bonds, 37/48 legal issuers, 26/27 parent groups; 82 bonds fully covered, 19 never covered, 2 partial. Eight Fitch AA(dza) rows were excluded as non-Brazil scale. Files: datos_y_modelos/db/ratings/issuer_ratings_global_lc_bond_level_panel_audit.xlsx and issuer_ratings_national_bond_level_panel_audit.xlsx. Commit b087203. ISSUER LC RATING CONTROL — FROZEN: descriptive evidence, not baseline regressor.</t>
        </is>
      </c>
    </row>
    <row r="17" ht="220" customHeight="1" s="40">
      <c r="A17" s="4" t="n">
        <v>6</v>
      </c>
      <c r="B17" s="4" t="inlineStr">
        <is>
          <t>WP-06</t>
        </is>
      </c>
      <c r="C17" s="4" t="inlineStr">
        <is>
          <t>Data Freeze Gate</t>
        </is>
      </c>
      <c r="D17" s="4" t="inlineStr">
        <is>
          <t>Baseline audits/decisions closed; reproducible 4,648 x 19 panel generated, reconciled and frozen</t>
        </is>
      </c>
      <c r="E17" s="4" t="inlineStr">
        <is>
          <t>Close the Econometric Panel Data Freeze Gate with one reproducible authoritative candidate panel</t>
        </is>
      </c>
      <c r="F17" s="4" t="inlineStr">
        <is>
          <t>Daniel asks for a direct H1-result link and better explanation of the negative sign.</t>
        </is>
      </c>
      <c r="G17" s="4" t="inlineStr">
        <is>
          <t>Secs. 3.1, 3.3.1, 4.1, 4.5.3, 5.2.1, 6.1</t>
        </is>
      </c>
      <c r="H17" s="4" t="inlineStr">
        <is>
          <t>COMPLETED. Reproducible builder assembles the revised 4,648-row bond-month panel with corrected corporate spread; VIX/Fed3M/USD-BRL/GDP; SGS 13762 public debt/GDP under uniform L2 timing; PIT liquidity/leverage; relative issue size; BUS/252 residual maturity; and the frozen Sovereign Risk (BRL) same-date mapping. Sovereign mapping yields 3,918 populated rows from 2016 onward and 730 intentional pre-2016 missing rows with no backward time extrapolation. Candidate output panel_main_and_robustness_rebuilt.xlsx passes row/bond/issuer/key/missingness and variable-by-variable reconciliation. Legacy workbook remains untouched.</t>
        </is>
      </c>
      <c r="I17" s="4" t="inlineStr">
        <is>
          <t>Frozen builder + candidate 4,648 x 19 panel + reconciliation evidence + reproducibility commit 23435a4</t>
        </is>
      </c>
      <c r="J17" s="9" t="inlineStr">
        <is>
          <t>Done</t>
        </is>
      </c>
      <c r="K17" s="4" t="inlineStr">
        <is>
          <t>PASSED 9-Oct-2026: sovereign mapping is documented/reproducible; SGS 13762 uses uniform L2; candidate panel passes structural and variable-level reconciliation; legacy workbook is preserved. FE-DK estimation may now proceed from the frozen rebuilt panel.</t>
        </is>
      </c>
      <c r="L17" s="10" t="inlineStr">
        <is>
          <t>Closed 9-Oct-2026. Final panel: 4,648 rows x 19 columns; 103 bonds; 48 issuers; 0 duplicate bond-month keys. Sovereign present 3,918 / missing 730, with missingness confined to pre-2016 dates. Sample reconciliation versus legacy: 4,226 common, 422 new, three intentional AN275276 Corp removals (May-Jul 2017) because the revised ANDE replacement series starts 29-Aug-2017. Metadata plus VIX/Fed3M/USD-BRL/GDP reconcile exactly on all common rows; relative issue size is exact; maturity max difference is 1/252 year; PIT accounting differences and revised spread/fiscal/sovereign constructs are documented and expected. Reproducibility commit: 23435a4 Build reproducible frozen econometrics panel.</t>
        </is>
      </c>
    </row>
    <row r="18" ht="72" customHeight="1" s="40">
      <c r="A18" s="4" t="n">
        <v>7</v>
      </c>
      <c r="B18" s="4" t="inlineStr">
        <is>
          <t>WP-07</t>
        </is>
      </c>
      <c r="C18" s="4" t="inlineStr">
        <is>
          <t>Estimator</t>
        </is>
      </c>
      <c r="D18" s="4" t="inlineStr">
        <is>
          <t>MR-16, MR-17, MR-23</t>
        </is>
      </c>
      <c r="E18" s="4" t="inlineStr">
        <is>
          <t>Reset inference to one bond-FE Driscoll-Kraay table; remove plain FE and PCSE</t>
        </is>
      </c>
      <c r="F18" s="4" t="inlineStr">
        <is>
          <t>Martin confirmed the PCSE rationale and requested no separate conventional-FE or PCSE columns.</t>
        </is>
      </c>
      <c r="G18" s="4" t="inlineStr">
        <is>
          <t>Secs. 4.2, 4.6, 4.8, 5.1-5.3; Tables 2-3; Annex 8.10-8.11</t>
        </is>
      </c>
      <c r="H18" s="4" t="inlineStr">
        <is>
          <t>Audit the exact FE/DK/PCSE commands and diagnostics; set the final DK lag/finite-sample choices; explain that bond FE defines the coefficient estimator while Driscoll-Kraay/PCSE address the covariance/inference layer; document which forms of heteroskedasticity, serial correlation and cross-sectional dependence each treatment is intended to handle; keep one main DK table.</t>
        </is>
      </c>
      <c r="I18" s="4" t="inlineStr">
        <is>
          <t>WP-01 to WP-06 final variable definitions</t>
        </is>
      </c>
      <c r="J18" s="9" t="inlineStr">
        <is>
          <t>In progress</t>
        </is>
      </c>
      <c r="K18" s="4" t="inlineStr">
        <is>
          <t>All main significance uses one DK setup; diagnostics are shown; the core table has no separate plain-FE or PCSE columns.</t>
        </is>
      </c>
      <c r="L18" s="10" t="inlineStr">
        <is>
          <t>Activated 9-Oct-2026 immediately after WP-06 Data Freeze PASS. Use panel_main_and_robustness_rebuilt.xlsx as the frozen estimation input. First task: audit the exact FE-DK commands/setup, choose and document the DK lag/finite-sample treatment, verify panel dimensions and covariance assumptions, and produce the single four-column core table. Plain FE/PCSE remain diagnostic/appendix only.</t>
        </is>
      </c>
    </row>
    <row r="19" ht="72" customHeight="1" s="40">
      <c r="A19" s="4" t="n">
        <v>8</v>
      </c>
      <c r="B19" s="4" t="inlineStr">
        <is>
          <t>WP-08</t>
        </is>
      </c>
      <c r="C19" s="4" t="inlineStr">
        <is>
          <t>Estimator</t>
        </is>
      </c>
      <c r="D19" s="4" t="inlineStr">
        <is>
          <t>MR-18</t>
        </is>
      </c>
      <c r="E19" s="4" t="inlineStr">
        <is>
          <t>Produce the single four-model DK table and targeted robustness checks</t>
        </is>
      </c>
      <c r="F19" s="4" t="inlineStr">
        <is>
          <t>Updated director deliverable: corrected post-freeze regressions and presentation package by 10-Oct-2026.</t>
        </is>
      </c>
      <c r="G19" s="4" t="inlineStr">
        <is>
          <t>Secs. 4.6-4.8, 5.1-5.4; Annex 8.11</t>
        </is>
      </c>
      <c r="H19" s="4" t="inlineStr">
        <is>
          <t>Four core bond-FE / Driscoll-Kraay columns using nominal FED3M; sovereign/local-macro and NER/RER variants as finalized; within R2/rho and diagnostics; Brazil 3M DI robustness with FED3M retained vs omitted; correlation matrix; pricing-data sensitivity where feasible. Use the frozen panel only.</t>
        </is>
      </c>
      <c r="I19" s="4" t="inlineStr">
        <is>
          <t>WP-01, WP-02, WP-04, WP-07; confirm template ambiguities</t>
        </is>
      </c>
      <c r="J19" s="9" t="inlineStr">
        <is>
          <t>Not started</t>
        </is>
      </c>
      <c r="K19" s="4" t="inlineStr">
        <is>
          <t>Core grid matches the director template; old FED3M Real is excluded; NER/RER and stacking ambiguities are confirmed; any SELIC columns are separate, referee-only diagnostics.</t>
        </is>
      </c>
      <c r="L19" s="10" t="inlineStr">
        <is>
          <t>2-Oct meeting resets the old 30-Sep target. Aim to send Martin the new regressions plus an updated deck by 10-Oct-2026, then review in the week of 13-Oct. Keep the main table DK-only; alternative covariance outputs are appendix/internal diagnostics, not a horse race.</t>
        </is>
      </c>
    </row>
    <row r="20" ht="72" customHeight="1" s="40">
      <c r="A20" s="4" t="n">
        <v>9</v>
      </c>
      <c r="B20" s="4" t="inlineStr">
        <is>
          <t>WP-09</t>
        </is>
      </c>
      <c r="C20" s="4" t="inlineStr">
        <is>
          <t>Data quality / pre-freeze</t>
        </is>
      </c>
      <c r="D20" s="4" t="inlineStr">
        <is>
          <t>MR-25</t>
        </is>
      </c>
      <c r="E20" s="4" t="inlineStr">
        <is>
          <t>Finalize stale-quote, BVAL and missing-price treatment before panel freeze</t>
        </is>
      </c>
      <c r="F20" s="4" t="inlineStr">
        <is>
          <t>Lagged quotes may mechanically create anomalous signs.</t>
        </is>
      </c>
      <c r="G20" s="4" t="inlineStr">
        <is>
          <t>Secs. 2.1.1, 4.5.2, 4.6, 5.2.1, 5.2.3, 6.1-6.3; Annex 8.2 and 8.5</t>
        </is>
      </c>
      <c r="H20" s="4" t="inlineStr">
        <is>
          <t>Treat the revised corporate-pricing/source-selection workflow as the authoritative baseline input. The problematic BVAL/indicative observation was replaced by the next-best available source rather than retained under its odd convention; do not reopen that source decision absent material new evidence. Keep BVAL/indicative semantics explicit in the data appendix. Any alternative no-fill-forward/missing-price convention may be reported later as sensitivity, but it no longer blocks the reproducible panel build.</t>
        </is>
      </c>
      <c r="I20" s="4" t="inlineStr">
        <is>
          <t>WP-01 revised corporate pricing dataset; source-selection audit trail</t>
        </is>
      </c>
      <c r="J20" s="9" t="inlineStr">
        <is>
          <t>Done</t>
        </is>
      </c>
      <c r="K20" s="4" t="inlineStr">
        <is>
          <t>Pricing-source decision is explicit for the baseline and BVAL/indicative marks are not silently treated as executed transaction prices. Alternative missing-price treatment is sensitivity only and does not block the controlled panel reconstruction.</t>
        </is>
      </c>
      <c r="L20" s="10" t="inlineStr">
        <is>
          <t>7-Oct-2026 governance closure based on the completed corporate-spread work: the affected BVAL value had already been replaced by the second-best available source because of its problematic convention. User/director discussion treated this issue as solved; do not reopen absent material evidence. Preserve the source hierarchy and rationale in the reproducible builder/data appendix.</t>
        </is>
      </c>
    </row>
    <row r="21" ht="72" customHeight="1" s="40">
      <c r="A21" s="4" t="n">
        <v>10</v>
      </c>
      <c r="B21" s="4" t="inlineStr">
        <is>
          <t>WP-10</t>
        </is>
      </c>
      <c r="C21" s="4" t="inlineStr">
        <is>
          <t>Identification</t>
        </is>
      </c>
      <c r="D21" s="4" t="inlineStr">
        <is>
          <t>MR-13, MR-15</t>
        </is>
      </c>
      <c r="E21" s="4" t="inlineStr">
        <is>
          <t>Clarify identifying variation and panel imbalance</t>
        </is>
      </c>
      <c r="F21" s="4" t="inlineStr">
        <is>
          <t>Common regressors vary monthly; bond histories are unequal.</t>
        </is>
      </c>
      <c r="G21" s="4" t="inlineStr">
        <is>
          <t>Secs. 4.2-4.4, 4.7-4.8, 5.1, 5.3-5.4, 6.1; Annex 8.10</t>
        </is>
      </c>
      <c r="H21" s="4" t="inlineStr">
        <is>
          <t>Variation-level table and T_i/coverage profile.</t>
        </is>
      </c>
      <c r="I21" s="4" t="inlineStr">
        <is>
          <t>WP-03 and WP-07</t>
        </is>
      </c>
      <c r="J21" s="9" t="inlineStr">
        <is>
          <t>Not started</t>
        </is>
      </c>
      <c r="K21" s="4" t="inlineStr">
        <is>
          <t>Months, bonds, issuers, T_i distribution and FE limits are reported.</t>
        </is>
      </c>
      <c r="L21" s="10" t="n"/>
    </row>
    <row r="22" ht="72" customHeight="1" s="40">
      <c r="A22" s="4" t="n">
        <v>11</v>
      </c>
      <c r="B22" s="4" t="inlineStr">
        <is>
          <t>WP-11</t>
        </is>
      </c>
      <c r="C22" s="4" t="inlineStr">
        <is>
          <t>Text/literature</t>
        </is>
      </c>
      <c r="D22" s="4" t="inlineStr">
        <is>
          <t>MR-11, MR-12, MR-21, MR-32, MR-34</t>
        </is>
      </c>
      <c r="E22" s="4" t="inlineStr">
        <is>
          <t>Correct language and make bounded literature/theory updates</t>
        </is>
      </c>
      <c r="F22" s="4" t="inlineStr">
        <is>
          <t>Daniel's literature comments are secondary and should support, not expand, the empirical design.</t>
        </is>
      </c>
      <c r="G22" s="4" t="inlineStr">
        <is>
          <t>Introduction; Secs. 3-4; references; defense literature map</t>
        </is>
      </c>
      <c r="H22" s="4" t="inlineStr">
        <is>
          <t>Non-causal wording; citation corrections; construct-proxy table; closest-study comparison.</t>
        </is>
      </c>
      <c r="I22" s="4" t="inlineStr">
        <is>
          <t>Final empirical framing from WP-04, WP-08, WP-09</t>
        </is>
      </c>
      <c r="J22" s="9" t="inlineStr">
        <is>
          <t>Not started</t>
        </is>
      </c>
      <c r="K22" s="4" t="inlineStr">
        <is>
          <t>Every citation supports the statement; the gap/proxies are demonstrated without theoretical overhaul.</t>
        </is>
      </c>
      <c r="L22" s="10" t="n"/>
    </row>
    <row r="23" ht="72" customHeight="1" s="40">
      <c r="A23" s="4" t="n">
        <v>12</v>
      </c>
      <c r="B23" s="4" t="inlineStr">
        <is>
          <t>WP-12</t>
        </is>
      </c>
      <c r="C23" s="4" t="inlineStr">
        <is>
          <t>Reporting</t>
        </is>
      </c>
      <c r="D23" s="4" t="inlineStr">
        <is>
          <t>MR-22, MR-24</t>
        </is>
      </c>
      <c r="E23" s="4" t="inlineStr">
        <is>
          <t>Build the single consolidated regression table and run table-to-text checks</t>
        </is>
      </c>
      <c r="F23" s="4" t="inlineStr">
        <is>
          <t>Final DK evidence must be readable and auditable.</t>
        </is>
      </c>
      <c r="G23" s="4" t="inlineStr">
        <is>
          <t>Table 3; Sec. 5.2.2; Annex Table 7</t>
        </is>
      </c>
      <c r="H23" s="4" t="inlineStr">
        <is>
          <t>One FE-DK table with SE, N, panel dimensions, within R2, rho, DK lag/FE metadata and diagnostics panel.</t>
        </is>
      </c>
      <c r="I23" s="4" t="inlineStr">
        <is>
          <t>WP-08 final estimates</t>
        </is>
      </c>
      <c r="J23" s="9" t="inlineStr">
        <is>
          <t>Not started</t>
        </is>
      </c>
      <c r="K23" s="4" t="inlineStr">
        <is>
          <t>The requested four core columns and any optional SELIC columns are readable, auditable and matched exactly by the prose.</t>
        </is>
      </c>
      <c r="L23" s="10" t="inlineStr">
        <is>
          <t>Table design source: Martin's 25-Sep-2026 template.</t>
        </is>
      </c>
    </row>
    <row r="24" ht="72" customHeight="1" s="40">
      <c r="A24" s="4" t="n">
        <v>13</v>
      </c>
      <c r="B24" s="4" t="inlineStr">
        <is>
          <t>WP-13</t>
        </is>
      </c>
      <c r="C24" s="4" t="inlineStr">
        <is>
          <t>Interpretation</t>
        </is>
      </c>
      <c r="D24" s="4" t="inlineStr">
        <is>
          <t>MR-19, MR-26</t>
        </is>
      </c>
      <c r="E24" s="4" t="inlineStr">
        <is>
          <t>Rewrite results and explain counterintuitive signs</t>
        </is>
      </c>
      <c r="F24" s="4" t="inlineStr">
        <is>
          <t>Daniel's central contribution is better H-result linkage; Brazil-specific mechanisms must be separated from evidence.</t>
        </is>
      </c>
      <c r="G24" s="4" t="inlineStr">
        <is>
          <t>Secs. 5.2-5.4 and 6.1-6.3</t>
        </is>
      </c>
      <c r="H24" s="4" t="inlineStr">
        <is>
          <t>Robust/partial/null/unresolved hierarchy; H-result map; Brazil-specific mechanisms.</t>
        </is>
      </c>
      <c r="I24" s="4" t="inlineStr">
        <is>
          <t>WP-02, WP-04, WP-05, WP-08, WP-09, WP-12</t>
        </is>
      </c>
      <c r="J24" s="9" t="inlineStr">
        <is>
          <t>Not started</t>
        </is>
      </c>
      <c r="K24" s="4" t="inlineStr">
        <is>
          <t>Every hypothesis and sign is tied to a final table or labeled as a mechanism/limitation.</t>
        </is>
      </c>
      <c r="L24" s="10" t="n"/>
    </row>
    <row r="25" ht="72" customHeight="1" s="40">
      <c r="A25" s="4" t="n">
        <v>14</v>
      </c>
      <c r="B25" s="4" t="inlineStr">
        <is>
          <t>WP-14</t>
        </is>
      </c>
      <c r="C25" s="4" t="inlineStr">
        <is>
          <t>Narrative</t>
        </is>
      </c>
      <c r="D25" s="4" t="inlineStr">
        <is>
          <t>MR-30, MR-31, MR-32, MR-33</t>
        </is>
      </c>
      <c r="E25" s="4" t="inlineStr">
        <is>
          <t>Rewrite gap, contribution, abstract/conclusions and final copy-edit</t>
        </is>
      </c>
      <c r="F25" s="4" t="inlineStr">
        <is>
          <t>Do this only after the empirical freeze; Daniel is treated selectively as exposition.</t>
        </is>
      </c>
      <c r="G25" s="4" t="inlineStr">
        <is>
          <t>Resumen/Abstract; Introduction; Secs. 5.4 and 6; entire-thesis QA</t>
        </is>
      </c>
      <c r="H25" s="4" t="inlineStr">
        <is>
          <t>Closest-study contribution; one central question; hypothesis scorecard; final language consistency.</t>
        </is>
      </c>
      <c r="I25" s="4" t="inlineStr">
        <is>
          <t>WP-13</t>
        </is>
      </c>
      <c r="J25" s="9" t="inlineStr">
        <is>
          <t>Not started</t>
        </is>
      </c>
      <c r="K25" s="4" t="inlineStr">
        <is>
          <t>Question, contribution, tables and conclusions are consistent and appropriately bounded.</t>
        </is>
      </c>
      <c r="L25" s="10" t="n"/>
    </row>
    <row r="26" ht="72" customHeight="1" s="40">
      <c r="A26" s="4" t="n">
        <v>15</v>
      </c>
      <c r="B26" s="4" t="inlineStr">
        <is>
          <t>WP-15</t>
        </is>
      </c>
      <c r="C26" s="4" t="inlineStr">
        <is>
          <t>Reproducibility</t>
        </is>
      </c>
      <c r="D26" s="4" t="inlineStr">
        <is>
          <t>MR-27, MR-28</t>
        </is>
      </c>
      <c r="E26" s="4" t="inlineStr">
        <is>
          <t>Complete replication package and data provenance</t>
        </is>
      </c>
      <c r="F26" s="4" t="inlineStr">
        <is>
          <t>Ailin requests a runnable pipeline and Martin agrees.</t>
        </is>
      </c>
      <c r="G26" s="4" t="inlineStr">
        <is>
          <t>Secs. 4.4-4.5; Annex 8.1-8.14; source notes</t>
        </is>
      </c>
      <c r="H26" s="4" t="inlineStr">
        <is>
          <t>README, environment, scripts, queries, dates, hashes, consolidation rules, curve settings and clean-run evidence.</t>
        </is>
      </c>
      <c r="I26" s="4" t="inlineStr">
        <is>
          <t>All final code/outputs</t>
        </is>
      </c>
      <c r="J26" s="9" t="inlineStr">
        <is>
          <t>Not started</t>
        </is>
      </c>
      <c r="K26" s="4" t="inlineStr">
        <is>
          <t>A clean run regenerates every permitted output and provenance is complete.</t>
        </is>
      </c>
      <c r="L26" s="10" t="n"/>
    </row>
    <row r="27" ht="72" customHeight="1" s="40">
      <c r="A27" s="4" t="n">
        <v>16</v>
      </c>
      <c r="B27" s="4" t="inlineStr">
        <is>
          <t>WP-16</t>
        </is>
      </c>
      <c r="C27" s="4" t="inlineStr">
        <is>
          <t>Resubmission</t>
        </is>
      </c>
      <c r="D27" s="4" t="inlineStr">
        <is>
          <t>MR-05, MR-08, MR-10, MR-20, MR-29; synthesis MR-30/31/32</t>
        </is>
      </c>
      <c r="E27" s="4" t="inlineStr">
        <is>
          <t>Prepare response memo, defense and Bordeaux/Geneva materials</t>
        </is>
      </c>
      <c r="F27" s="4" t="inlineStr">
        <is>
          <t>All comments must receive a change, diagnostic, answer or reasoned non-change.</t>
        </is>
      </c>
      <c r="G27" s="4" t="inlineStr">
        <is>
          <t>Response memo; future research; defense/seminar deck; deadline checklist</t>
        </is>
      </c>
      <c r="H27" s="4" t="inlineStr">
        <is>
          <t>Issue-by-issue response memo; final single DK table; diagnostics; scoped non-changes; descriptive local-currency ratings evidence; confirmed deadlines; concise defense/Bordeaux/Geneva deck. After the 10-Oct regression package, make slides more visual and parsimonious, with the econometric results given adequate space and dense literature/method detail cut or moved to appendix.</t>
        </is>
      </c>
      <c r="I27" s="4" t="inlineStr">
        <is>
          <t>WP-01 to WP-15</t>
        </is>
      </c>
      <c r="J27" s="9" t="inlineStr">
        <is>
          <t>Not started</t>
        </is>
      </c>
      <c r="K27" s="4" t="inlineStr">
        <is>
          <t>Every observation maps to evidence or a reasoned non-change; seminar materials use the agreed table; deadlines and formal branch are tracked.</t>
        </is>
      </c>
      <c r="L27" s="10" t="inlineStr">
        <is>
          <t>Updated near-term target: regressions + revised presentation to Martin by 10-Oct-2026; joint review planned for the week of 13-Oct-2026.</t>
        </is>
      </c>
    </row>
  </sheetData>
  <mergeCells count="8">
    <mergeCell ref="B4:L4"/>
    <mergeCell ref="A2:L2"/>
    <mergeCell ref="B6:L6"/>
    <mergeCell ref="B7:L7"/>
    <mergeCell ref="A1:L1"/>
    <mergeCell ref="B5:L5"/>
    <mergeCell ref="B9:L9"/>
    <mergeCell ref="B8:L8"/>
  </mergeCells>
  <conditionalFormatting sqref="B7">
    <cfRule type="dataBar" priority="1">
      <dataBar>
        <cfvo type="num" val="0"/>
        <cfvo type="num" val="1"/>
        <color rgb="FF0F6B78"/>
      </dataBar>
    </cfRule>
  </conditionalFormatting>
  <dataValidations count="1">
    <dataValidation sqref="J12:J27" showDropDown="0" showInputMessage="0" showErrorMessage="0" allowBlank="0" error="Use one of the listed status values." promptTitle="Status" prompt="Choose a workflow status." type="list">
      <formula1>"Not started,In progress,Waiting,Done,Response only,Deferred"</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1F4E78"/>
    <outlinePr summaryBelow="1" summaryRight="1"/>
    <pageSetUpPr/>
  </sheetPr>
  <dimension ref="A1:S37"/>
  <sheetViews>
    <sheetView showGridLines="0" workbookViewId="0">
      <selection activeCell="A1" sqref="A1"/>
    </sheetView>
  </sheetViews>
  <sheetFormatPr baseColWidth="8" defaultRowHeight="14.5"/>
  <cols>
    <col width="10" customWidth="1" style="40" min="1" max="1"/>
    <col width="28" customWidth="1" style="40" min="2" max="2"/>
    <col width="12" customWidth="1" style="40" min="3" max="4"/>
    <col width="24" customWidth="1" style="40" min="5" max="5"/>
    <col width="48" customWidth="1" style="40" min="6" max="6"/>
    <col width="34" customWidth="1" style="40" min="7" max="7"/>
    <col width="23" customWidth="1" style="40" min="8" max="8"/>
    <col width="50" customWidth="1" style="40" min="9" max="9"/>
    <col width="46" customWidth="1" style="40" min="10" max="10"/>
    <col width="34" customWidth="1" style="40" min="11" max="11"/>
    <col width="38" customWidth="1" style="40" min="12" max="12"/>
    <col width="58" customWidth="1" style="40" min="13" max="13"/>
    <col width="30" customWidth="1" style="40" min="14" max="14"/>
    <col width="31" customWidth="1" style="40" min="15" max="15"/>
    <col width="52" customWidth="1" style="40" min="16" max="16"/>
    <col width="21" customWidth="1" style="40" min="17" max="17"/>
    <col width="17" customWidth="1" style="40" min="18" max="18"/>
    <col width="50" customWidth="1" style="40" min="19" max="19"/>
  </cols>
  <sheetData>
    <row r="1" ht="26" customHeight="1" s="40">
      <c r="A1" s="45" t="inlineStr">
        <is>
          <t>Master Revision Matrix</t>
        </is>
      </c>
    </row>
    <row r="2" ht="60" customHeight="1" s="40">
      <c r="A2" s="48" t="inlineStr">
        <is>
          <t>One row per distinct issue across all three jurors. Updated through 9-Oct-2026: the Econometric Panel Data Freeze Gate has PASSED. The reproducible builder now writes panel_main_and_robustness_rebuilt.xlsx with 4,648 rows, 19 columns, 103 bonds and 48 issuers and preserves the legacy workbook unchanged. BCB SGS 13762 public debt/GDP uses the frozen uniform L2 timing. WP-02 remains closed at the sovereign source/formula level; WP-06 now provides a frozen same-date Sovereign Risk (BRL) panel mapping with 3,918 populated rows from 2016 onward and 730 intentional pre-2016 missing rows, with no backward time extrapolation. Full overlap reconciliation passed and commit 23435a4 records the reproducible package. CURRENT: WP-07 — bond-FE / Driscoll-Kraay inference reset and core table rerun.</t>
        </is>
      </c>
    </row>
    <row r="3" ht="34" customHeight="1" s="40">
      <c r="A3" s="3" t="inlineStr">
        <is>
          <t>ID</t>
        </is>
      </c>
      <c r="B3" s="3" t="inlineStr">
        <is>
          <t>Source IDs</t>
        </is>
      </c>
      <c r="C3" s="3" t="inlineStr">
        <is>
          <t>Overlap group</t>
        </is>
      </c>
      <c r="D3" s="3" t="inlineStr">
        <is>
          <t>Priority</t>
        </is>
      </c>
      <c r="E3" s="3" t="inlineStr">
        <is>
          <t>Juror(s)</t>
        </is>
      </c>
      <c r="F3" s="3" t="inlineStr">
        <is>
          <t>Consolidated juror criticism</t>
        </is>
      </c>
      <c r="G3" s="3" t="inlineStr">
        <is>
          <t>Report location</t>
        </is>
      </c>
      <c r="H3" s="3" t="inlineStr">
        <is>
          <t>Martin position</t>
        </is>
      </c>
      <c r="I3" s="3" t="inlineStr">
        <is>
          <t>Martin annotation / evidence</t>
        </is>
      </c>
      <c r="J3" s="3" t="inlineStr">
        <is>
          <t>My diagnosis</t>
        </is>
      </c>
      <c r="K3" s="3" t="inlineStr">
        <is>
          <t>Revision category</t>
        </is>
      </c>
      <c r="L3" s="3" t="inlineStr">
        <is>
          <t>Thesis location</t>
        </is>
      </c>
      <c r="M3" s="3" t="inlineStr">
        <is>
          <t>Required action</t>
        </is>
      </c>
      <c r="N3" s="3" t="inlineStr">
        <is>
          <t>Estimation / work type</t>
        </is>
      </c>
      <c r="O3" s="3" t="inlineStr">
        <is>
          <t>Dependencies</t>
        </is>
      </c>
      <c r="P3" s="3" t="inlineStr">
        <is>
          <t>Acceptance criterion</t>
        </is>
      </c>
      <c r="Q3" s="3" t="inlineStr">
        <is>
          <t>Change required?</t>
        </is>
      </c>
      <c r="R3" s="3" t="inlineStr">
        <is>
          <t>Status</t>
        </is>
      </c>
      <c r="S3" s="3" t="inlineStr">
        <is>
          <t>Working notes</t>
        </is>
      </c>
    </row>
    <row r="4" ht="104" customHeight="1" s="40">
      <c r="A4" s="4" t="inlineStr">
        <is>
          <t>MR-01</t>
        </is>
      </c>
      <c r="B4" s="4" t="inlineStr">
        <is>
          <t>A-03, A-10, A-13; M-04, M-17, M-18; D-10, D-17</t>
        </is>
      </c>
      <c r="C4" s="4" t="inlineStr">
        <is>
          <t>OG-01</t>
        </is>
      </c>
      <c r="D4" s="11" t="inlineStr">
        <is>
          <t>Critical</t>
        </is>
      </c>
      <c r="E4" s="4" t="inlineStr">
        <is>
          <t>Ailin + Maximo + Daniel</t>
        </is>
      </c>
      <c r="F4" s="4" t="inlineStr">
        <is>
          <t>The sovereign-risk regressor and the dependent corporate spread share the IPCA benchmark. The jury asks whether this creates mechanical covariance and how the negative coefficient should be interpreted.</t>
        </is>
      </c>
      <c r="G4" s="12" t="inlineStr">
        <is>
          <t>Ailin pp. 2, 6-7 and M1; Maximo p. 2 sec. 1.2 and pp. 4-5; Daniel pp. 2-3</t>
        </is>
      </c>
      <c r="H4" s="4" t="inlineStr">
        <is>
          <t>Agrees / strongly agrees</t>
        </is>
      </c>
      <c r="I4" s="12" t="inlineStr">
        <is>
          <t>24-Sep-2026: Martin identifies this as the main priority and frames corporate excess/shortfall relative to the sovereign through the sovereign-ceiling hypothesis. 25-Sep: the sovereign regressor is a local BRL sovereign spread, government YTM minus the matched local risk-free/reference yield, not a CDS. 27-Sep: USD CDS 5Y was never part of the economic model. Corporate Spread and Sovereign Risk (BRL) should remain separate spreads over the same local reference curve so the model estimates the response of corporate spread to sovereign risk; a direct corporate-minus-sovereign spread is a related alternative, not the preferred econometric specification.</t>
        </is>
      </c>
      <c r="J4" s="4" t="inlineStr">
        <is>
          <t>Resolved. The jurors' shared-benchmark/mechanical-covariance concern was separated from the actual final implementation. Corporate spreads are measured against an IPCA-real reference curve, while sovereign_spread_brl uses nominal LTN/NTN-F minus the DI reference curve. The thesis now states that each spread is matched to its own instrument/indexation benchmark and explains why they remain separate variables in the sovereign-transmission regression.</t>
        </is>
      </c>
      <c r="K4" s="4" t="inlineStr">
        <is>
          <t>A - Methodological issue / additional estimation</t>
        </is>
      </c>
      <c r="L4" s="4" t="inlineStr">
        <is>
          <t>Sec. 2.2; Sec. 4.3; Sec. 4.5.1-4.5.3; Sec. 5.2.3; Annex 8.3 and 8.8-8.9</t>
        </is>
      </c>
      <c r="M4" s="4" t="inlineStr">
        <is>
          <t>Completed: audit/document both formulas and tenor matching; distinguish the IPCA-real corporate benchmark from the nominal DI sovereign benchmark; explain the preferred two-spread transmission specification and the direct corporate-minus-sovereign alternative; remove synthetic-CDS terminology and align thesis figures/tables/appendix. Final model-panel integrity checks are deferred to the pre-estimation gate.</t>
        </is>
      </c>
      <c r="N4" s="4" t="inlineStr">
        <is>
          <t>Code/formula audit + terminology correction + re-estimation if implementation changes</t>
        </is>
      </c>
      <c r="O4" s="4" t="inlineStr">
        <is>
          <t>MR-03 measurement audit; local curve inputs; government-bond matching</t>
        </is>
      </c>
      <c r="P4" s="4" t="inlineStr">
        <is>
          <t>The thesis and code use explicit Corporate Spread and sovereign_spread_brl constructions with date/tenor/indexation matching appropriate to each instrument. The shared-benchmark concern is addressed without falsely claiming an identical curve; the two-spread specification is justified; no CDS label or pure-default interpretation remains. Final estimates will be refreshed only after the remaining regressor audits.</t>
        </is>
      </c>
      <c r="Q4" s="4" t="inlineStr">
        <is>
          <t>Yes</t>
        </is>
      </c>
      <c r="R4" s="9" t="inlineStr">
        <is>
          <t>Done</t>
        </is>
      </c>
      <c r="S4" s="10" t="inlineStr">
        <is>
          <t>Closed 29-Sep-2026. Sovereign code audit: 252 LTN + 330 NTN-F = 582 observations; 582/582 DI benchmarks reproduced; 0 missing; max abs diff 5.33e-13 bp; geometric spread verified; exact-node guard; pytest 5/5; commit b551414 pushed. Thesis edits completed across Resumen/Abstract, sovereign-risk literature/methodology, results terminology, annex construction, and Figures 3/4. Corporate IPCA-real versus nominal sovereign DI benchmark distinction is now explicit. 9-Oct-2026 follow-up: canonical metadata/YAS sources and the 582-observation WP-02 arithmetic remain valid, but full corporate-panel mapping was not part of that closure. Current nominal coverage is insufficient for a defensible 2010-2025 contemporaneous tenor match; this downstream blocker is assigned to WP-06. 9-Oct-2026 WP-06 closure: downstream panel mapping is now frozen and reproducible — same-date nominal mapping only, 3,918 populated rows from 2016 onward and 730 intentional pre-2016 missing rows; no backward time extrapolation. This closes the former coverage blocker without reopening WP-02.</t>
        </is>
      </c>
    </row>
    <row r="5" ht="104" customHeight="1" s="40">
      <c r="A5" s="4" t="inlineStr">
        <is>
          <t>MR-02</t>
        </is>
      </c>
      <c r="B5" s="4" t="inlineStr">
        <is>
          <t>A-03, A-13; M-04</t>
        </is>
      </c>
      <c r="C5" s="4" t="inlineStr">
        <is>
          <t>OG-01</t>
        </is>
      </c>
      <c r="D5" s="13" t="inlineStr">
        <is>
          <t>High</t>
        </is>
      </c>
      <c r="E5" s="4" t="inlineStr">
        <is>
          <t>Ailin + Maximo</t>
        </is>
      </c>
      <c r="F5" s="4" t="inlineStr">
        <is>
          <t>The labels synthetic CDS BRL and risk-free real curve overstate what is measured when the benchmark includes sovereign NTN-B yields and market-basis components.</t>
        </is>
      </c>
      <c r="G5" s="12" t="inlineStr">
        <is>
          <t>Ailin pp. 2, 6-7; Maximo p. 2 sec. 1.2</t>
        </is>
      </c>
      <c r="H5" s="4" t="inlineStr">
        <is>
          <t>Agrees / strongly agrees</t>
        </is>
      </c>
      <c r="I5" s="12" t="inlineStr">
        <is>
          <t>25-Sep-2026: Martin explicitly rejects the "synthetic CDS" label; there is no credit default swap in the construction. 27-Sep: he further clarifies that USD CDS 5Y was never part of the economic model and should not be introduced. The intended object remains a maturity-matched local-currency sovereign spread: government-bond yield minus the relevant futures/swap/interpolated local reference curve yield.</t>
        </is>
      </c>
      <c r="J5" s="4" t="inlineStr">
        <is>
          <t>Resolved. The final variable is sovereign_spread_brl / local-currency sovereign spread, not a CDS. The nominal DI reference curve and exact-tenor matching are documented, and language that could imply a pure default-protection measure was removed. The corporate IPCA-real benchmark is described separately so the indexation treatment is transparent.</t>
        </is>
      </c>
      <c r="K5" s="4" t="inlineStr">
        <is>
          <t>B - Clarification / reframing</t>
        </is>
      </c>
      <c r="L5" s="4" t="inlineStr">
        <is>
          <t>Resumen/Abstract; Sec. 2.2; Sec. 4.5.1-4.5.3; Sec. 5.2.3; Annex 8.3 and 8.8-8.9; Glossary</t>
        </is>
      </c>
      <c r="M5" s="4" t="inlineStr">
        <is>
          <t>Completed: rename the variable consistently as sovereign_spread_brl / sovereign risk in local currency; define it algebraically as government YTM versus the matched nominal DI reference yield; explain the DI curve construction and tenor matching; remove synthetic CDS BRL from thesis text, diagrams and table labels. Keep the director-confirmed USD CDS 5Y non-use as a final pre-estimation code-integrity check only.</t>
        </is>
      </c>
      <c r="N5" s="4" t="inlineStr">
        <is>
          <t>Terminology correction + code/formula verification</t>
        </is>
      </c>
      <c r="O5" s="4" t="inlineStr">
        <is>
          <t>MR-01 measurement decision</t>
        </is>
      </c>
      <c r="P5" s="4" t="inlineStr">
        <is>
          <t>One name and one formula are used throughout; the variable is never described as a CDS; the nominal DI reference curve and maturity matching are transparent; the implementation reproduces the documented construction; the IPCA-real corporate benchmark is separately identified. No USD CDS variable is to be introduced into the model.</t>
        </is>
      </c>
      <c r="Q5" s="4" t="inlineStr">
        <is>
          <t>Yes</t>
        </is>
      </c>
      <c r="R5" s="9" t="inlineStr">
        <is>
          <t>Done</t>
        </is>
      </c>
      <c r="S5" s="10" t="inlineStr">
        <is>
          <t>Thesis terminology/documentation closed 29-Sep-2026: sovereign_spread_brl replaced synthetic-CDS language in text, tables/diagrams and Annex construction. Implementation reconciliation closed 4-Oct-2026: the existing econometric panel/Stata synthetic_cds_brl field was proven to be a different legacy fixed-curve proxy and is NOT the validated sovereign_spread_brl series. Replacement with the validated control is required during the controlled final panel rebuild before new estimates. 9-Oct-2026 follow-up: do not rename or revive any legacy synthetic surface. The current task is to obtain/document a reproducible full-panel sovereign mapping consistent with the validated nominal LTN/NTN-F-vs-DI definition; coverage resolution is tracked under WP-06, not as a reopening of MR-02 terminology. 9-Oct-2026 WP-06 closure: the final rebuilt panel uses sovereign_spread_brl, not synthetic CDS; same-date mapping is documented and legacy latest-curve/NSS logic remains rejected. Sovereign values are intentionally unavailable pre-2016 rather than backfilled.</t>
        </is>
      </c>
    </row>
    <row r="6" ht="104" customHeight="1" s="40">
      <c r="A6" s="8" t="inlineStr">
        <is>
          <t>MR-03</t>
        </is>
      </c>
      <c r="B6" s="8" t="inlineStr">
        <is>
          <t>A-05</t>
        </is>
      </c>
      <c r="C6" s="8" t="inlineStr">
        <is>
          <t>OG-02</t>
        </is>
      </c>
      <c r="D6" s="11" t="inlineStr">
        <is>
          <t>Critical</t>
        </is>
      </c>
      <c r="E6" s="8" t="inlineStr">
        <is>
          <t>Ailin</t>
        </is>
      </c>
      <c r="F6" s="8" t="inlineStr">
        <is>
          <t>Spreads were computed by linear subtraction of yields despite compounding conventions. Ailin requests a geometric or log-consistent spread on matched curves.</t>
        </is>
      </c>
      <c r="G6" s="14" t="inlineStr">
        <is>
          <t>Ailin p. 2 sec. 2(c), p. 7, M2</t>
        </is>
      </c>
      <c r="H6" s="8" t="inlineStr">
        <is>
          <t>Agrees / strongly agrees</t>
        </is>
      </c>
      <c r="I6" s="14" t="inlineStr">
        <is>
          <t>Martin explicitly instructed the spread recalculation. 2-Oct-2026: he expects the geometric-vs-arithmetic compounding correction itself to have only a small quantitative effect; the corrected price/yield field problems can matter more. Re-estimate only after the explanatory-variable Data Freeze Gate passes.</t>
        </is>
      </c>
      <c r="J6" s="8" t="inlineStr">
        <is>
          <t>Genuine dependent-variable measurement correction. Exact units, signs, field types and compounding must be audited before coding.</t>
        </is>
      </c>
      <c r="K6" s="8" t="inlineStr">
        <is>
          <t>A - Methodological issue / additional estimation</t>
        </is>
      </c>
      <c r="L6" s="8" t="inlineStr">
        <is>
          <t>Sec. 2.2 eq. (1); Sec. 4.3; Sec. 4.5.2 eq. (3); Annex 8.7; all empirical outputs</t>
        </is>
      </c>
      <c r="M6" s="8" t="inlineStr">
        <is>
          <t>Recompute each bond-month spread with consistent compounding, matched tenor and consistent YTM/zero conventions. Unit-test hand cases, compare old versus new series, and regenerate all estimates, tables and conclusions.</t>
        </is>
      </c>
      <c r="N6" s="8" t="inlineStr">
        <is>
          <t>Dependent-variable rebuild + full re-estimation</t>
        </is>
      </c>
      <c r="O6" s="8" t="inlineStr">
        <is>
          <t>Curve and yield convention audit</t>
        </is>
      </c>
      <c r="P6" s="8" t="inlineStr">
        <is>
          <t>Formula, units, day count and compounding are documented; old/new summary statistics and hand checks reproduce; all downstream outputs use the corrected series.</t>
        </is>
      </c>
      <c r="Q6" s="8" t="inlineStr">
        <is>
          <t>Yes</t>
        </is>
      </c>
      <c r="R6" s="9" t="inlineStr">
        <is>
          <t>In progress</t>
        </is>
      </c>
      <c r="S6" s="10" t="inlineStr">
        <is>
          <t>Corporate-spread measurement stage completed 25-Sep-2026: NTN-B 2012-2013 field contamination corrected and corporate yield inputs rechecked. 2-Oct director expectation: geometric compounding alone should barely move results; price/yield corrections may matter. MR-03 remains open only because downstream estimates/tables still need regeneration on the frozen panel. Reproducible builder now calculates the corrected corporate spread for all 4,648 revised bond-month rows; MR-03 remains open only for the post-freeze regression/table regeneration and final old-vs-new results interpretation.</t>
        </is>
      </c>
    </row>
    <row r="7" ht="104" customHeight="1" s="40">
      <c r="A7" s="4" t="inlineStr">
        <is>
          <t>MR-04</t>
        </is>
      </c>
      <c r="B7" s="4" t="inlineStr">
        <is>
          <t>A-02, A-04, A-14</t>
        </is>
      </c>
      <c r="C7" s="4" t="inlineStr">
        <is>
          <t>OG-02</t>
        </is>
      </c>
      <c r="D7" s="13" t="inlineStr">
        <is>
          <t>High</t>
        </is>
      </c>
      <c r="E7" s="4" t="inlineStr">
        <is>
          <t>Ailin</t>
        </is>
      </c>
      <c r="F7" s="4" t="inlineStr">
        <is>
          <t>Subtracting the real curve implicitly imposes unit exposure to the curve factor; the level/slope of Brazilian real rates may be omitted.</t>
        </is>
      </c>
      <c r="G7" s="12" t="inlineStr">
        <is>
          <t>Ailin p. 2 sec. 2(b), pp. 5-7, M3</t>
        </is>
      </c>
      <c r="H7" s="4" t="inlineStr">
        <is>
          <t>Partially agrees</t>
        </is>
      </c>
      <c r="I7" s="12" t="inlineStr">
        <is>
          <t>25-Sep: baseline SELIC non-inclusion rests on UIP overlap with FED3M plus expected BRL depreciation and on SELIC anchoring the short end of the local reference curve. 27-Sep: the Brazil 3M rate is referee-only. 2-Oct meeting reconfirmed the robustness exercise: after panel freeze, add the Brazil 3M DI proxy and compare the specified model with nominal FED3M retained versus omitted.</t>
        </is>
      </c>
      <c r="J7" s="4" t="inlineStr">
        <is>
          <t>Baseline omission is economically defensible and the referee-only domestic short-rate proxy is now fully sourced/documented. Because Models 5-6 depend on the final common regressor set, the regression stage is intentionally parked until all baseline explanatory variables are audited and the authoritative panel is frozen.</t>
        </is>
      </c>
      <c r="K7" s="4" t="inlineStr">
        <is>
          <t>A - Methodological issue / additional estimation</t>
        </is>
      </c>
      <c r="L7" s="4" t="inlineStr">
        <is>
          <t>Secs. 3.1-3.3; Sec. 4.3; Sec. 4.5.3; Sec. 5.2-5.4; Sec. 6.1</t>
        </is>
      </c>
      <c r="M7" s="4" t="inlineStr">
        <is>
          <t>Keep SELIC/Brazil 3M DI out of the baseline and explain both reasons. After the Data Freeze Gate, merge the validated 3M DI series only into the robustness panel and run the agreed with-FED3M / without-FED3M checks under the specified exclusions. Report correlations/VIF/incremental information and show the exercise only if informative.</t>
        </is>
      </c>
      <c r="N7" s="4" t="inlineStr">
        <is>
          <t>Clarification + diagnostics + optional two-column robustness</t>
        </is>
      </c>
      <c r="O7" s="4" t="inlineStr">
        <is>
          <t>MR-03; final curve definitions</t>
        </is>
      </c>
      <c r="P7" s="4" t="inlineStr">
        <is>
          <t>The baseline SELIC omission is explicit and tied to both UIP overlap and the curve construction; any SELIC 3M Forward columns obey the required exclusions, are labeled referee-only, and are not treated as a baseline replacement.</t>
        </is>
      </c>
      <c r="Q7" s="4" t="inlineStr">
        <is>
          <t>Yes - clarification / minimum scope</t>
        </is>
      </c>
      <c r="R7" s="9" t="inlineStr">
        <is>
          <t>Deferred</t>
        </is>
      </c>
      <c r="S7" s="10" t="inlineStr">
        <is>
          <t>Data package is complete. Regression-dependent closure remains deferred until the panel is frozen. The 2-Oct meeting makes the robustness comparison part of the intended new-estimates package rather than a pre-freeze task.</t>
        </is>
      </c>
    </row>
    <row r="8" ht="104" customHeight="1" s="40">
      <c r="A8" s="4" t="inlineStr">
        <is>
          <t>MR-05</t>
        </is>
      </c>
      <c r="B8" s="4" t="inlineStr">
        <is>
          <t>A-02, A-04, A-14</t>
        </is>
      </c>
      <c r="C8" s="4" t="inlineStr">
        <is>
          <t>OG-02</t>
        </is>
      </c>
      <c r="D8" s="15" t="inlineStr">
        <is>
          <t>Low</t>
        </is>
      </c>
      <c r="E8" s="4" t="inlineStr">
        <is>
          <t>Ailin</t>
        </is>
      </c>
      <c r="F8" s="4" t="inlineStr">
        <is>
          <t>Ailin proposes a full two-step Fama-MacBeth factor model with bond-specific betas to the real curve.</t>
        </is>
      </c>
      <c r="G8" s="12" t="inlineStr">
        <is>
          <t>Ailin pp. 5-7, M3</t>
        </is>
      </c>
      <c r="H8" s="4" t="inlineStr">
        <is>
          <t>Disagrees / not endorsed</t>
        </is>
      </c>
      <c r="I8" s="12" t="inlineStr">
        <is>
          <t>Martin does not endorse a full theoretical redesign; treat it as a future extension. Current work should use bounded grouped heterogeneity tests.</t>
        </is>
      </c>
      <c r="J8" s="4" t="inlineStr">
        <is>
          <t>Interesting but disproportionate as a mandatory revision.</t>
        </is>
      </c>
      <c r="K8" s="4" t="inlineStr">
        <is>
          <t>D - Not endorsed / optional / response only</t>
        </is>
      </c>
      <c r="L8" s="4" t="inlineStr">
        <is>
          <t>Potentially Sec. 4.3-4.8 and Annex A</t>
        </is>
      </c>
      <c r="M8" s="4" t="inlineStr">
        <is>
          <t>Do not redesign the TFM around Fama-MacBeth. Mention it as future research and address the core concern through MR-04 and MR-06.</t>
        </is>
      </c>
      <c r="N8" s="4" t="inlineStr">
        <is>
          <t>No mandatory estimation</t>
        </is>
      </c>
      <c r="O8" s="4" t="inlineStr">
        <is>
          <t>MR-04 and MR-06</t>
        </is>
      </c>
      <c r="P8" s="4" t="inlineStr">
        <is>
          <t>Response memo explains the scoped remedy and future extension.</t>
        </is>
      </c>
      <c r="Q8" s="4" t="inlineStr">
        <is>
          <t>No - response only</t>
        </is>
      </c>
      <c r="R8" s="9" t="inlineStr">
        <is>
          <t>Not started</t>
        </is>
      </c>
      <c r="S8" s="10" t="n"/>
    </row>
    <row r="9" ht="104" customHeight="1" s="40">
      <c r="A9" s="4" t="inlineStr">
        <is>
          <t>MR-06</t>
        </is>
      </c>
      <c r="B9" s="4" t="inlineStr">
        <is>
          <t>A-07; M-01, M-16, M-17; D-10, D-18</t>
        </is>
      </c>
      <c r="C9" s="4" t="inlineStr">
        <is>
          <t>OG-03</t>
        </is>
      </c>
      <c r="D9" s="11" t="inlineStr">
        <is>
          <t>Critical</t>
        </is>
      </c>
      <c r="E9" s="4" t="inlineStr">
        <is>
          <t>Ailin + Maximo + Daniel</t>
        </is>
      </c>
      <c r="F9" s="4" t="inlineStr">
        <is>
          <t>The theory allows heterogeneous sovereign transmission, but the submitted model estimates one average coefficient and then invokes heterogeneous issuers to explain the sign.</t>
        </is>
      </c>
      <c r="G9" s="12" t="inlineStr">
        <is>
          <t>Ailin pp. 2, 9-10; Maximo pp. 1, 4; Daniel pp. 2-3</t>
        </is>
      </c>
      <c r="H9" s="4" t="inlineStr">
        <is>
          <t>Partially agrees</t>
        </is>
      </c>
      <c r="I9" s="12" t="inlineStr">
        <is>
          <t>Earlier guidance supported bounded heterogeneity. In the 2-Oct meeting, when asked specifically about rating/sector grouping, Martin narrowed the immediate response: do not turn the thesis into a rating study; provide a small local-currency rating table for the reviewer/defense and keep any issuer/bond/sector heterogeneity exercises optional and subject to power.</t>
        </is>
      </c>
      <c r="J9" s="4" t="inlineStr">
        <is>
          <t>The jury concern should still be answered, but the minimum response is now descriptive evidence plus disciplined interpretation. Do not invoke issuer heterogeneity ex post as a proven explanation unless a powered test is actually run.</t>
        </is>
      </c>
      <c r="K9" s="4" t="inlineStr">
        <is>
          <t>A - Methodological issue / additional estimation</t>
        </is>
      </c>
      <c r="L9" s="4" t="inlineStr">
        <is>
          <t>Secs. 3.1, 3.3.2, 4.1, 4.3, 5.2.3, 6.1, 6.3</t>
        </is>
      </c>
      <c r="M9" s="4" t="inlineStr">
        <is>
          <t>Use the completed point-in-time rating evidence descriptively in the jury response/appendix. Do not claim issuer heterogeneity as a proven mechanism unless a later powered test is run. Global and national rating scales must remain separate; additional sector/issuer/bond heterogeneity is optional post-core work.</t>
        </is>
      </c>
      <c r="N9" s="4" t="inlineStr">
        <is>
          <t>Descriptive evidence + optional bounded heterogeneity estimation</t>
        </is>
      </c>
      <c r="O9" s="4" t="inlineStr">
        <is>
          <t>MR-01, MR-03, MR-16; group definitions</t>
        </is>
      </c>
      <c r="P9" s="4" t="inlineStr">
        <is>
          <t>Rating evidence is documented with exact-sample coverage and explicit scale/source rules; the response no longer relies on an untested rating mechanism. Optional heterogeneity estimates, if any, are clearly secondary and powered.</t>
        </is>
      </c>
      <c r="Q9" s="4" t="inlineStr">
        <is>
          <t>Yes - response/descriptive minimum scope; extra estimation optional</t>
        </is>
      </c>
      <c r="R9" s="9" t="inlineStr">
        <is>
          <t>In progress</t>
        </is>
      </c>
      <c r="S9" s="10" t="inlineStr">
        <is>
          <t>7-Oct-2026: rating data/method audit completed. Global LT LC &gt;=1-agency coverage is 41.6%; Brazilian national-scale &gt;=1-agency coverage is 75.8% but is a distinct descriptive scale. Baseline rating control rejected due coverage/selection; files committed as b087203. Remaining work is presentation in the issuer/company table or appendix and jury-response wording.</t>
        </is>
      </c>
    </row>
    <row r="10" ht="104" customHeight="1" s="40">
      <c r="A10" s="4" t="inlineStr">
        <is>
          <t>MR-07</t>
        </is>
      </c>
      <c r="B10" s="4" t="inlineStr">
        <is>
          <t>A-07; M-01, M-16, M-17</t>
        </is>
      </c>
      <c r="C10" s="4" t="inlineStr">
        <is>
          <t>OG-03</t>
        </is>
      </c>
      <c r="D10" s="13" t="inlineStr">
        <is>
          <t>High</t>
        </is>
      </c>
      <c r="E10" s="4" t="inlineStr">
        <is>
          <t>Ailin + Maximo</t>
        </is>
      </c>
      <c r="F10" s="4" t="inlineStr">
        <is>
          <t>Local-currency credit quality is used ex post to explain the sovereign coefficient but is absent from the model.</t>
        </is>
      </c>
      <c r="G10" s="12" t="inlineStr">
        <is>
          <t>Ailin pp. 2, 9-10; Maximo pp. 1, 4</t>
        </is>
      </c>
      <c r="H10" s="4" t="inlineStr">
        <is>
          <t>Partially agrees</t>
        </is>
      </c>
      <c r="I10" s="12" t="inlineStr">
        <is>
          <t>2-Oct-2026: Martin does not want ratings to become a core regression dimension. Ratings are slower-moving and may lag spread information; use a compact table of long-term local-currency issuer ratings to answer the reviewer. Do not assume the sample is uniformly AA/AAA; retrieve the actual ratings.</t>
        </is>
      </c>
      <c r="J10" s="4" t="inlineStr">
        <is>
          <t>A descriptive rating table is the appropriate minimum response. A rating interaction is optional only if timing, coverage, within-sample cells and economic interpretation are defensible after the core results are frozen.</t>
        </is>
      </c>
      <c r="K10" s="4" t="inlineStr">
        <is>
          <t>A - Methodological issue / additional estimation</t>
        </is>
      </c>
      <c r="L10" s="4" t="inlineStr">
        <is>
          <t>Sec. 5.2.3; Sec. 6.1 and 6.3; variable section 4.5.3</t>
        </is>
      </c>
      <c r="M10" s="4" t="inlineStr">
        <is>
          <t>Add the completed issuer-rating evidence to the company/issuer table or appendix. Preserve S&amp;P/Moody/Fitch separately. Use global LT local-currency issuer ratings where available and clearly labelled Brazilian national-scale LT issuer ratings only as complementary descriptive evidence; no parent/issue fallback and no synthetic composite. Baseline regression remains rating-free.</t>
        </is>
      </c>
      <c r="N10" s="4" t="inlineStr">
        <is>
          <t>New descriptive data field; optional additional estimation</t>
        </is>
      </c>
      <c r="O10" s="4" t="inlineStr">
        <is>
          <t>MR-06; rating source/timing rule</t>
        </is>
      </c>
      <c r="P10" s="4" t="inlineStr">
        <is>
          <t>Actual point-in-time issuer ratings and coverage are documented without assuming a uniformly high-grade sample; global and national scales are not mixed; missing values remain explicit; the reviewer receives a direct descriptive answer.</t>
        </is>
      </c>
      <c r="Q10" s="4" t="inlineStr">
        <is>
          <t>Yes - descriptive minimum scope; regression optional</t>
        </is>
      </c>
      <c r="R10" s="9" t="inlineStr">
        <is>
          <t>In progress</t>
        </is>
      </c>
      <c r="S10" s="10" t="inlineStr">
        <is>
          <t>7-Oct-2026 audit closure: exact 4,229-row bond-date extraction with Bloomberg RATING_AS_OF_DATE_OVERRIDE. Global fields: RTG_SP_LT_LC_ISSUER_CREDIT, RTG_MDY_LC_CURR_ISSUER_RATING, RTG_FITCH_LT_LC_ISSUER_DEFAULT. National complement: RTG_SP_NATIONAL_LT_ISSUER_CREDIT, RTG_MDY_NSR_ISSUER, RTG_FITCH_NATIONAL_LT. Coverage supports descriptive use only; no baseline control. Audit workbooks stored under datos_y_modelos/db/ratings/ and committed b087203.</t>
        </is>
      </c>
    </row>
    <row r="11" ht="104" customHeight="1" s="40">
      <c r="A11" s="4" t="inlineStr">
        <is>
          <t>MR-08</t>
        </is>
      </c>
      <c r="B11" s="4" t="inlineStr">
        <is>
          <t>M-16, M-17, M-18</t>
        </is>
      </c>
      <c r="C11" s="4" t="inlineStr">
        <is>
          <t>OG-03</t>
        </is>
      </c>
      <c r="D11" s="15" t="inlineStr">
        <is>
          <t>Low</t>
        </is>
      </c>
      <c r="E11" s="4" t="inlineStr">
        <is>
          <t>Maximo</t>
        </is>
      </c>
      <c r="F11" s="4" t="inlineStr">
        <is>
          <t>Test flight-to-quality explanations with crisis/event dummies and interactions.</t>
        </is>
      </c>
      <c r="G11" s="12" t="inlineStr">
        <is>
          <t>Maximo p. 4 and defense questions</t>
        </is>
      </c>
      <c r="H11" s="4" t="inlineStr">
        <is>
          <t>Disagrees / not endorsed</t>
        </is>
      </c>
      <c r="I11" s="12" t="inlineStr">
        <is>
          <t>Useful but optional/future research; the thesis must have a bounded end.</t>
        </is>
      </c>
      <c r="J11" s="4" t="inlineStr">
        <is>
          <t>Potentially informative but secondary after ratings, sectors and stale-price checks.</t>
        </is>
      </c>
      <c r="K11" s="4" t="inlineStr">
        <is>
          <t>D - Not endorsed / optional / response only</t>
        </is>
      </c>
      <c r="L11" s="4" t="inlineStr">
        <is>
          <t>Sec. 5.2.1, 5.2.3, 6.1, 6.3</t>
        </is>
      </c>
      <c r="M11" s="4" t="inlineStr">
        <is>
          <t>Keep as future research unless a pre-specified low-cost robustness can be added. Do not present flight-to-quality as a finding.</t>
        </is>
      </c>
      <c r="N11" s="4" t="inlineStr">
        <is>
          <t>Optional interaction estimation</t>
        </is>
      </c>
      <c r="O11" s="4" t="inlineStr">
        <is>
          <t>MR-06 and MR-07</t>
        </is>
      </c>
      <c r="P11" s="4" t="inlineStr">
        <is>
          <t>Narrative labels this as a possible mechanism unless directly tested.</t>
        </is>
      </c>
      <c r="Q11" s="4" t="inlineStr">
        <is>
          <t>No - response only</t>
        </is>
      </c>
      <c r="R11" s="9" t="inlineStr">
        <is>
          <t>Not started</t>
        </is>
      </c>
      <c r="S11" s="10" t="n"/>
    </row>
    <row r="12" ht="118" customHeight="1" s="40">
      <c r="A12" s="4" t="inlineStr">
        <is>
          <t>MR-09</t>
        </is>
      </c>
      <c r="B12" s="4" t="inlineStr">
        <is>
          <t>A-01, A-06; M-03, M-10, M-18; D-09, D-18</t>
        </is>
      </c>
      <c r="C12" s="4" t="inlineStr">
        <is>
          <t>OG-04</t>
        </is>
      </c>
      <c r="D12" s="13" t="inlineStr">
        <is>
          <t>High</t>
        </is>
      </c>
      <c r="E12" s="4" t="inlineStr">
        <is>
          <t>Ailin + Maximo + Daniel</t>
        </is>
      </c>
      <c r="F12" s="4" t="inlineStr">
        <is>
          <t>VIX differs from the proxy in the cited reference, is not pure risk aversion, and its negative sign relative to H1 requires an explicit conditional interpretation.</t>
        </is>
      </c>
      <c r="G12" s="12" t="inlineStr">
        <is>
          <t>Ailin pp. 1, 7-8; Maximo pp. 1, 3, 5; Daniel pp. 2-3</t>
        </is>
      </c>
      <c r="H12" s="4" t="inlineStr">
        <is>
          <t>Agrees / strongly agrees</t>
        </is>
      </c>
      <c r="I12" s="12" t="inlineStr">
        <is>
          <t>24-Sep: keep VIX if justified and explain the sign carefully. 2-Oct meeting: defend VIX academically with the broad literature that uses it as a global volatility/financial-stress proxy; other authors may use high-yield/junk-bond spreads, but this does not by itself require changing the proxy or running new econometrics. Final sign interpretation still waits for the frozen-panel DK rerun.</t>
        </is>
      </c>
      <c r="J12" s="4" t="inlineStr">
        <is>
          <t>Retain VIX as a global volatility/financial-stress proxy, not pure risk aversion, and interpret it conditionally after sequential models.</t>
        </is>
      </c>
      <c r="K12" s="4" t="inlineStr">
        <is>
          <t>B - Clarification / reframing</t>
        </is>
      </c>
      <c r="L12" s="4" t="inlineStr">
        <is>
          <t>Secs. 3.1, 3.3.1, H1/Table 1, Sec. 4.5.3, Sec. 5.2.1, Sec. 6.1</t>
        </is>
      </c>
      <c r="M12" s="4" t="inlineStr">
        <is>
          <t>CLOSED PRE-FREEZE. VIX source/monthly history/panel mapping/scaling/economic label are validated and the thesis frames VIX as expected S&amp;P 500 implied volatility used as a proxy for global financial stress, not pure risk aversion. The companion Fed 3M Forward audit also passed all six stages: Bloomberg USSOC Curncy / PX_LAST (3M USD OIS), daily history, month-end convention, 164/164 exact panel match, native percentage-point scaling and corrected technical definition. Final coefficient-movement/correlation diagnostics and final VIX sign/H1 prose are downstream tasks under MR-18/MR-19 after the frozen-panel DK rerun; they do not keep MR-09 open.</t>
        </is>
      </c>
      <c r="N12" s="4" t="inlineStr">
        <is>
          <t>Data/source audit + text revision + diagnostic; optional alternative proxy</t>
        </is>
      </c>
      <c r="O12" s="4" t="inlineStr">
        <is>
          <t>MR-18 correlation matrix</t>
        </is>
      </c>
      <c r="P12" s="4" t="inlineStr">
        <is>
          <t>PASSED: the VIX construct/proxy is justified and accurately labeled; its source, monthly mapping and scaling are validated. The companion nominal Fed control is independently sourced and reproduced end-to-end, including 164/164 exact panel-month matches and a technically correct OIS definition. Any post-freeze correlation table and final sign interpretation are assigned to MR-18/MR-19.</t>
        </is>
      </c>
      <c r="Q12" s="4" t="inlineStr">
        <is>
          <t>Yes</t>
        </is>
      </c>
      <c r="R12" s="9" t="inlineStr">
        <is>
          <t>Done</t>
        </is>
      </c>
      <c r="S12" s="10" t="inlineStr">
        <is>
          <t>Closed pre-freeze. 2-Oct director meeting reinforces the non-change decision: retain VIX, support it with literature, and avoid claiming it is pure risk aversion. No alternative proxy is required solely to answer the reviewer.</t>
        </is>
      </c>
    </row>
    <row r="13" ht="104" customHeight="1" s="40">
      <c r="A13" s="4" t="inlineStr">
        <is>
          <t>MR-10</t>
        </is>
      </c>
      <c r="B13" s="4" t="inlineStr">
        <is>
          <t>A-06</t>
        </is>
      </c>
      <c r="C13" s="4" t="inlineStr">
        <is>
          <t>OG-04</t>
        </is>
      </c>
      <c r="D13" s="15" t="inlineStr">
        <is>
          <t>Low</t>
        </is>
      </c>
      <c r="E13" s="4" t="inlineStr">
        <is>
          <t>Ailin</t>
        </is>
      </c>
      <c r="F13" s="4" t="inlineStr">
        <is>
          <t>Replace or complement VIX with a large composite PCA index.</t>
        </is>
      </c>
      <c r="G13" s="12" t="inlineStr">
        <is>
          <t>Ailin pp. 7-8, M4</t>
        </is>
      </c>
      <c r="H13" s="4" t="inlineStr">
        <is>
          <t>Disagrees / not endorsed</t>
        </is>
      </c>
      <c r="I13" s="12" t="inlineStr">
        <is>
          <t>No mandatory replacement. Acknowledge alternatives; at most use one transparent proxy.</t>
        </is>
      </c>
      <c r="J13" s="4" t="inlineStr">
        <is>
          <t>Large extension with substantial discretion; not necessary to resolve the core criticism.</t>
        </is>
      </c>
      <c r="K13" s="4" t="inlineStr">
        <is>
          <t>D - Not endorsed / optional / response only</t>
        </is>
      </c>
      <c r="L13" s="4" t="inlineStr">
        <is>
          <t>Would affect Sec. 4.5.3, all regressions and Annex A</t>
        </is>
      </c>
      <c r="M13" s="4" t="inlineStr">
        <is>
          <t>Do not build the PCA as a mandatory revision. Mention as future research; optionally show one simple alternative proxy.</t>
        </is>
      </c>
      <c r="N13" s="4" t="inlineStr">
        <is>
          <t>No mandatory estimation</t>
        </is>
      </c>
      <c r="O13" s="4" t="inlineStr">
        <is>
          <t>MR-09</t>
        </is>
      </c>
      <c r="P13" s="4" t="inlineStr">
        <is>
          <t>Response memo explains the narrower remedy.</t>
        </is>
      </c>
      <c r="Q13" s="4" t="inlineStr">
        <is>
          <t>No - response only</t>
        </is>
      </c>
      <c r="R13" s="9" t="inlineStr">
        <is>
          <t>Not started</t>
        </is>
      </c>
      <c r="S13" s="10" t="n"/>
    </row>
    <row r="14" ht="104" customHeight="1" s="40">
      <c r="A14" s="4" t="inlineStr">
        <is>
          <t>MR-11</t>
        </is>
      </c>
      <c r="B14" s="4" t="inlineStr">
        <is>
          <t>A-02, A-04, A-12; D-03, D-15</t>
        </is>
      </c>
      <c r="C14" s="4" t="inlineStr">
        <is>
          <t>OG-05</t>
        </is>
      </c>
      <c r="D14" s="13" t="inlineStr">
        <is>
          <t>High</t>
        </is>
      </c>
      <c r="E14" s="4" t="inlineStr">
        <is>
          <t>Ailin + Daniel</t>
        </is>
      </c>
      <c r="F14" s="4" t="inlineStr">
        <is>
          <t>The literature bridge to factor exposure, stale OTC pricing and the closest empirical studies is too descriptive or incomplete.</t>
        </is>
      </c>
      <c r="G14" s="12" t="inlineStr">
        <is>
          <t>Ailin pp. 1, 3, 5-7; Daniel pp. 1-3</t>
        </is>
      </c>
      <c r="H14" s="4" t="inlineStr">
        <is>
          <t>Partially agrees</t>
        </is>
      </c>
      <c r="I14" s="12" t="inlineStr">
        <is>
          <t>24-Sep-2026: Daniel is less substantial than the other reports; bibliography is a minor, targeted correction. Add only literature that supports the actual specification, tests and limits.</t>
        </is>
      </c>
      <c r="J14" s="4" t="inlineStr">
        <is>
          <t>A concise, critical comparison is warranted; no theoretical overhaul.</t>
        </is>
      </c>
      <c r="K14" s="4" t="inlineStr">
        <is>
          <t>C - Presentation / structure / literature / documentation</t>
        </is>
      </c>
      <c r="L14" s="4" t="inlineStr">
        <is>
          <t>Secs. 3.1-3.3, 4.6-4.7, 5.2-5.4; References</t>
        </is>
      </c>
      <c r="M14" s="4" t="inlineStr">
        <is>
          <t>Add a concise factor/stale-price bridge and directly compare the closest local-currency corporate-debt and panel-method papers. Correct minor bibliography issues.</t>
        </is>
      </c>
      <c r="N14" s="4" t="inlineStr">
        <is>
          <t>Literature and interpretation rewrite</t>
        </is>
      </c>
      <c r="O14" s="4" t="inlineStr">
        <is>
          <t>MR-04, MR-25, MR-34</t>
        </is>
      </c>
      <c r="P14" s="4" t="inlineStr">
        <is>
          <t>Each added reference is tied to a specific construct, test or limitation.</t>
        </is>
      </c>
      <c r="Q14" s="4" t="inlineStr">
        <is>
          <t>Yes</t>
        </is>
      </c>
      <c r="R14" s="9" t="inlineStr">
        <is>
          <t>Not started</t>
        </is>
      </c>
      <c r="S14" s="10" t="n"/>
    </row>
    <row r="15" ht="104" customHeight="1" s="40">
      <c r="A15" s="4" t="inlineStr">
        <is>
          <t>MR-12</t>
        </is>
      </c>
      <c r="B15" s="4" t="inlineStr">
        <is>
          <t>M-02; D-07, D-17</t>
        </is>
      </c>
      <c r="C15" s="4" t="inlineStr">
        <is>
          <t>OG-06</t>
        </is>
      </c>
      <c r="D15" s="13" t="inlineStr">
        <is>
          <t>High</t>
        </is>
      </c>
      <c r="E15" s="4" t="inlineStr">
        <is>
          <t>Maximo + Daniel</t>
        </is>
      </c>
      <c r="F15" s="4" t="inlineStr">
        <is>
          <t>The thesis sometimes uses causal language although the design is observational and correlational.</t>
        </is>
      </c>
      <c r="G15" s="12" t="inlineStr">
        <is>
          <t>Maximo p. 1; Daniel pp. 2-3</t>
        </is>
      </c>
      <c r="H15" s="4" t="inlineStr">
        <is>
          <t>No explicit position</t>
        </is>
      </c>
      <c r="I15" s="12" t="inlineStr">
        <is>
          <t>No direct Martin comment; consistent with the general instruction to avoid overstatement.</t>
        </is>
      </c>
      <c r="J15" s="4" t="inlineStr">
        <is>
          <t>Valid, low-cost wording correction.</t>
        </is>
      </c>
      <c r="K15" s="4" t="inlineStr">
        <is>
          <t>B - Clarification / reframing</t>
        </is>
      </c>
      <c r="L15" s="4" t="inlineStr">
        <is>
          <t>Sec. 4.3, 4.7; Resumen/Abstract; Conclusions</t>
        </is>
      </c>
      <c r="M15" s="4" t="inlineStr">
        <is>
          <t>Audit causal verbs and replace them with conditional-association language unless a specific identification argument supports causality.</t>
        </is>
      </c>
      <c r="N15" s="4" t="inlineStr">
        <is>
          <t>Text-only global edit</t>
        </is>
      </c>
      <c r="O15" s="4" t="inlineStr">
        <is>
          <t>Final model wording after MR-19</t>
        </is>
      </c>
      <c r="P15" s="4" t="inlineStr">
        <is>
          <t>Abstract, methods, results and conclusions use consistent non-causal language.</t>
        </is>
      </c>
      <c r="Q15" s="4" t="inlineStr">
        <is>
          <t>Yes</t>
        </is>
      </c>
      <c r="R15" s="9" t="inlineStr">
        <is>
          <t>Not started</t>
        </is>
      </c>
      <c r="S15" s="10" t="n"/>
    </row>
    <row r="16" ht="104" customHeight="1" s="40">
      <c r="A16" s="4" t="inlineStr">
        <is>
          <t>MR-13</t>
        </is>
      </c>
      <c r="B16" s="4" t="inlineStr">
        <is>
          <t>M-05; D-05, D-17</t>
        </is>
      </c>
      <c r="C16" s="4" t="inlineStr">
        <is>
          <t>OG-07</t>
        </is>
      </c>
      <c r="D16" s="13" t="inlineStr">
        <is>
          <t>High</t>
        </is>
      </c>
      <c r="E16" s="4" t="inlineStr">
        <is>
          <t>Maximo + Daniel</t>
        </is>
      </c>
      <c r="F16" s="4" t="inlineStr">
        <is>
          <t>The 4,229 rows do not equal 4,229 independent macro observations; the panel is strongly unbalanced with unequal bond histories.</t>
        </is>
      </c>
      <c r="G16" s="12" t="inlineStr">
        <is>
          <t>Maximo p. 2; Daniel pp. 2-3</t>
        </is>
      </c>
      <c r="H16" s="4" t="inlineStr">
        <is>
          <t>Agrees / strongly agrees</t>
        </is>
      </c>
      <c r="I16" s="12" t="inlineStr">
        <is>
          <t>Clarify the effective monthly dimension and the panel-balance profile; do not overstate precision or generalizability.</t>
        </is>
      </c>
      <c r="J16" s="4" t="inlineStr">
        <is>
          <t>Does not invalidate panel estimation, but affects inference and exposition.</t>
        </is>
      </c>
      <c r="K16" s="4" t="inlineStr">
        <is>
          <t>B - Clarification / reframing</t>
        </is>
      </c>
      <c r="L16" s="4" t="inlineStr">
        <is>
          <t>Secs. 4.2-4.4, 5.1; Annex 8.10</t>
        </is>
      </c>
      <c r="M16" s="4" t="inlineStr">
        <is>
          <t>Report observations, months, bonds and issuers separately; add T_i distribution, entry/exit years and annual coverage.</t>
        </is>
      </c>
      <c r="N16" s="4" t="inlineStr">
        <is>
          <t>Method clarification + table metadata</t>
        </is>
      </c>
      <c r="O16" s="4" t="inlineStr">
        <is>
          <t>MR-16 and MR-24</t>
        </is>
      </c>
      <c r="P16" s="4" t="inlineStr">
        <is>
          <t>Methods and tables distinguish all dimensions and state unequal coverage clearly.</t>
        </is>
      </c>
      <c r="Q16" s="4" t="inlineStr">
        <is>
          <t>Yes</t>
        </is>
      </c>
      <c r="R16" s="9" t="inlineStr">
        <is>
          <t>Not started</t>
        </is>
      </c>
      <c r="S16" s="10" t="n"/>
    </row>
    <row r="17" ht="104" customHeight="1" s="40">
      <c r="A17" s="4" t="inlineStr">
        <is>
          <t>MR-14</t>
        </is>
      </c>
      <c r="B17" s="4" t="inlineStr">
        <is>
          <t>M-06, M-17; D-11, D-18</t>
        </is>
      </c>
      <c r="C17" s="4" t="inlineStr">
        <is>
          <t>OG-07</t>
        </is>
      </c>
      <c r="D17" s="11" t="inlineStr">
        <is>
          <t>Critical</t>
        </is>
      </c>
      <c r="E17" s="4" t="inlineStr">
        <is>
          <t>Maximo + Daniel</t>
        </is>
      </c>
      <c r="F17" s="4" t="inlineStr">
        <is>
          <t>A time-invariant issue-size variable should be absorbed by bond fixed effects, yet a coefficient is reported; the sign also changes under PCSE.</t>
        </is>
      </c>
      <c r="G17" s="12" t="inlineStr">
        <is>
          <t>Maximo pp. 2, 4; Daniel pp. 2-3</t>
        </is>
      </c>
      <c r="H17" s="4" t="inlineStr">
        <is>
          <t>Agrees / strongly agrees</t>
        </is>
      </c>
      <c r="I17" s="12" t="inlineStr">
        <is>
          <t>Audit completed. 2-Oct meeting: Martin agrees AMT_ISSUED is fixed but the quarterly asset denominator varies. He suggested turnover/amount outstanding as a conceptually cleaner secondary-market liquidity measure, then accepted that sparse trading would generate many zeros and little useful time variation. The retained ratio is defensible as a relative issue-size / primary-issuance-liquidity proxy.</t>
        </is>
      </c>
      <c r="J17" s="4" t="inlineStr">
        <is>
          <t>Resolved. The time-invariance concern applies to AMT_ISSUED in levels, not to the estimated ratio. The actual regressor is AMT_ISSUED / BS_TOT_ASSET; quarterly issuer assets create time variation. In the estimation sample 98/103 bonds (95.15%) exhibit within-bond variation, so the ratio is identified under bond fixed effects. The coefficient measures changes in relative issue size versus issuer scale, not changes in the original issue amount.</t>
        </is>
      </c>
      <c r="K17" s="4" t="inlineStr">
        <is>
          <t>A - Methodological issue / additional estimation</t>
        </is>
      </c>
      <c r="L17" s="4" t="inlineStr">
        <is>
          <t>Table 1 H6; Secs. 4.5.3 and 4.7; Table 3; Sec. 5.2.4; Sec. 6.1-6.2.2; Annex 8.6.2 and Table 7; Figure 3</t>
        </is>
      </c>
      <c r="M17" s="4" t="inlineStr">
        <is>
          <t>Completed: trace AMT_ISSUED and issuer BS_TOT_ASSET from raw inputs; reconstruct the full panel; quantify within/between variation and quarterly timing; document the ‰ scale; retain and rename/define the variable consistently; revise FE identification and interpretation; keep a one-quarter-lagged denominator as timing robustness.</t>
        </is>
      </c>
      <c r="N17" s="4" t="inlineStr">
        <is>
          <t>Data audit + possible model revision</t>
        </is>
      </c>
      <c r="O17" s="4" t="inlineStr">
        <is>
          <t>Raw panel and code</t>
        </is>
      </c>
      <c r="P17" s="4" t="inlineStr">
        <is>
          <t>Passed: 4,229/4,229 observations reproduce from raw sources; 98/103 bonds vary within bond; the final variable name and ‰ units match construction; the thesis states that identification comes from the time-varying denominator and does not interpret the coefficient as the effect of changing AMT_ISSUED.</t>
        </is>
      </c>
      <c r="Q17" s="4" t="inlineStr">
        <is>
          <t>Yes</t>
        </is>
      </c>
      <c r="R17" s="9" t="inlineStr">
        <is>
          <t>Done</t>
        </is>
      </c>
      <c r="S17" s="10" t="inlineStr">
        <is>
          <t>Closed 30-Sep-2026 and reaffirmed 2-Oct. Keep contemporaneous AMT_ISSUED / BS_TOT_ASSET in the main model, Q-1 denominator as timing robustness, and clarify that the variable is not a clean secondary-market turnover measure. Low secondary-market trading is part of the rationale for the second-best primary issuance proxy. 9-Oct builder update: revised 4,648-row sample resolves relative issue size on every row using its own frozen timing rule: 4,602 same-quarter, 35 q-1 and 11 q-2 rows; 98/103 bonds retain within-bond variation. The q-2 rows are the documented IVPR3B BZ 2025Q2 case where both newer asset quarters are absent.</t>
        </is>
      </c>
    </row>
    <row r="18" ht="104" customHeight="1" s="40">
      <c r="A18" s="4" t="inlineStr">
        <is>
          <t>MR-15</t>
        </is>
      </c>
      <c r="B18" s="4" t="inlineStr">
        <is>
          <t>M-06; D-05</t>
        </is>
      </c>
      <c r="C18" s="4" t="inlineStr">
        <is>
          <t>OG-07</t>
        </is>
      </c>
      <c r="D18" s="16" t="inlineStr">
        <is>
          <t>Medium</t>
        </is>
      </c>
      <c r="E18" s="4" t="inlineStr">
        <is>
          <t>Maximo + Daniel</t>
        </is>
      </c>
      <c r="F18" s="4" t="inlineStr">
        <is>
          <t>Most regressors vary at month or firm-month level while same-firm bonds can have different spreads; substantial bond-time variation remains unexplained.</t>
        </is>
      </c>
      <c r="G18" s="12" t="inlineStr">
        <is>
          <t>Maximo p. 2; Daniel p. 2</t>
        </is>
      </c>
      <c r="H18" s="4" t="inlineStr">
        <is>
          <t>Partially agrees</t>
        </is>
      </c>
      <c r="I18" s="12" t="inlineStr">
        <is>
          <t>Clarify what fixed effects do and do not absorb; no model can cover every bond-time factor.</t>
        </is>
      </c>
      <c r="J18" s="4" t="inlineStr">
        <is>
          <t>Primarily a scope and interpretation issue.</t>
        </is>
      </c>
      <c r="K18" s="4" t="inlineStr">
        <is>
          <t>B - Clarification / reframing</t>
        </is>
      </c>
      <c r="L18" s="4" t="inlineStr">
        <is>
          <t>Secs. 4.7-4.8, 5.3-5.4, 6.1 and limitations</t>
        </is>
      </c>
      <c r="M18" s="4" t="inlineStr">
        <is>
          <t>Explain identification at month, firm-month and bond-month levels; interpret low within R2 without claiming model failure.</t>
        </is>
      </c>
      <c r="N18" s="4" t="inlineStr">
        <is>
          <t>Clarification; optional controls</t>
        </is>
      </c>
      <c r="O18" s="4" t="inlineStr">
        <is>
          <t>MR-13 and MR-14</t>
        </is>
      </c>
      <c r="P18" s="4" t="inlineStr">
        <is>
          <t>The thesis states FE limits and unexplained variation transparently.</t>
        </is>
      </c>
      <c r="Q18" s="4" t="inlineStr">
        <is>
          <t>Yes</t>
        </is>
      </c>
      <c r="R18" s="9" t="inlineStr">
        <is>
          <t>Not started</t>
        </is>
      </c>
      <c r="S18" s="10" t="n"/>
    </row>
    <row r="19" ht="104" customHeight="1" s="40">
      <c r="A19" s="4" t="inlineStr">
        <is>
          <t>MR-16</t>
        </is>
      </c>
      <c r="B19" s="4" t="inlineStr">
        <is>
          <t>M-07, M-08, M-10, M-17, M-18; D-06, D-17</t>
        </is>
      </c>
      <c r="C19" s="4" t="inlineStr">
        <is>
          <t>OG-08</t>
        </is>
      </c>
      <c r="D19" s="11" t="inlineStr">
        <is>
          <t>Critical</t>
        </is>
      </c>
      <c r="E19" s="4" t="inlineStr">
        <is>
          <t>Maximo + Daniel</t>
        </is>
      </c>
      <c r="F19" s="4" t="inlineStr">
        <is>
          <t>Issuer-clustered errors ignore common shocks. Heteroskedasticity, cross-sectional dependence, serial autocorrelation and imbalance make inference estimator-sensitive.</t>
        </is>
      </c>
      <c r="G19" s="12" t="inlineStr">
        <is>
          <t>Maximo pp. 3-5; Daniel pp. 2-3</t>
        </is>
      </c>
      <c r="H19" s="4" t="inlineStr">
        <is>
          <t>Agrees / strongly agrees</t>
        </is>
      </c>
      <c r="I19" s="12" t="inlineStr">
        <is>
          <t>24-Sep: Driscoll-Kraay is the preferred reference inference. 25-Sep: remove separate conventional FE and PCSE columns. 2-Oct meeting: explicitly distinguish the bond-FE coefficient estimator from Driscoll-Kraay/PCSE treatment of the variance-covariance matrix, and verify/document what each covariance method handles (heteroskedasticity, serial correlation and cross-sectional dependence) for this highly unbalanced panel.</t>
        </is>
      </c>
      <c r="J19" s="4" t="inlineStr">
        <is>
          <t>Genuine inference correction. DK should anchor all significance claims, while its limitations are stated.</t>
        </is>
      </c>
      <c r="K19" s="4" t="inlineStr">
        <is>
          <t>A - Methodological issue / additional estimation</t>
        </is>
      </c>
      <c r="L19" s="4" t="inlineStr">
        <is>
          <t>Secs. 4.2, 4.6, 4.8, 5.1-5.3; Tables 2-3; Annex 8.10-8.11</t>
        </is>
      </c>
      <c r="M19" s="4" t="inlineStr">
        <is>
          <t>Estimate coefficients with bond fixed effects and use Driscoll-Kraay covariance/standard errors for the sole main inference. Document DK lag/finite-sample choices and panel dimensions/diagnostics. Add a precise methods note distinguishing FE from the covariance correction and summarizing why DK is preferred to PCSE here. Keep PCSE/plain-FE outputs internal or appendix-only.</t>
        </is>
      </c>
      <c r="N19" s="4" t="inlineStr">
        <is>
          <t>Full re-estimation / inference reset</t>
        </is>
      </c>
      <c r="O19" s="4" t="inlineStr">
        <is>
          <t>MR-03 and final variable set</t>
        </is>
      </c>
      <c r="P19" s="4" t="inlineStr">
        <is>
          <t>One bond-FE/Driscoll-Kraay main table drives significance claims; the methods section accurately distinguishes coefficient estimation from covariance estimation and states the panel-structure rationale without overclaiming what DK solves.</t>
        </is>
      </c>
      <c r="Q19" s="4" t="inlineStr">
        <is>
          <t>Yes</t>
        </is>
      </c>
      <c r="R19" s="9" t="inlineStr">
        <is>
          <t>Not started</t>
        </is>
      </c>
      <c r="S19" s="10" t="inlineStr">
        <is>
          <t>2-Oct meeting confirms the prior one-table decision and adds a technical documentation task: explain the exact DK-versus-PCSE covariance properties using a standard econometrics reference. Do not describe DK as a different coefficient estimator from FE.</t>
        </is>
      </c>
    </row>
    <row r="20" ht="104" customHeight="1" s="40">
      <c r="A20" s="4" t="inlineStr">
        <is>
          <t>MR-17</t>
        </is>
      </c>
      <c r="B20" s="4" t="inlineStr">
        <is>
          <t>M-09, M-17, M-18; D-06, D-11</t>
        </is>
      </c>
      <c r="C20" s="4" t="inlineStr">
        <is>
          <t>OG-08</t>
        </is>
      </c>
      <c r="D20" s="11" t="inlineStr">
        <is>
          <t>Critical</t>
        </is>
      </c>
      <c r="E20" s="4" t="inlineStr">
        <is>
          <t>Maximo + Daniel</t>
        </is>
      </c>
      <c r="F20" s="4" t="inlineStr">
        <is>
          <t>PCSE coefficients differ from FE even though the thesis presents PCSE as merely another error correction; sign/significance changes need explanation.</t>
        </is>
      </c>
      <c r="G20" s="12" t="inlineStr">
        <is>
          <t>Maximo pp. 3, 5; Daniel p. 2</t>
        </is>
      </c>
      <c r="H20" s="4" t="inlineStr">
        <is>
          <t>Agrees / strongly agrees</t>
        </is>
      </c>
      <c r="I20" s="12" t="inlineStr">
        <is>
          <t>25-Sep: highly unbalanced panel and limited common temporal overlap weaken the PCSE covariance estimate. 2-Oct: Martin asks for a technically precise comparison of PCSE and Driscoll-Kraay at the covariance/inference layer; PCSE should not be a main results competitor once DK is selected as the preferred approach.</t>
        </is>
      </c>
      <c r="J20" s="4" t="inlineStr">
        <is>
          <t>The old comparison is internally inconsistent. The code should be audited only to document what was run; the preferred output must not invite a FE-versus-PCSE horse race.</t>
        </is>
      </c>
      <c r="K20" s="4" t="inlineStr">
        <is>
          <t>A - Methodological issue / additional estimation</t>
        </is>
      </c>
      <c r="L20" s="4" t="inlineStr">
        <is>
          <t>Secs. 4.2, 4.6, 4.8, 5.1-5.3; Tables 3 and 7</t>
        </is>
      </c>
      <c r="M20" s="4" t="inlineStr">
        <is>
          <t>Recover the exact PCSE command for internal audit, state its assumed covariance/error treatment accurately, contrast it with Driscoll-Kraay using a standard reference, and explain why panel imbalance/common overlap favor the chosen DK presentation. Remove PCSE from the main thesis/seminar table; retain only as a qualified appendix/internal diagnostic if useful.</t>
        </is>
      </c>
      <c r="N20" s="4" t="inlineStr">
        <is>
          <t>Code audit + table redesign</t>
        </is>
      </c>
      <c r="O20" s="4" t="inlineStr">
        <is>
          <t>Original do-file/logs; MR-16</t>
        </is>
      </c>
      <c r="P20" s="4" t="inlineStr">
        <is>
          <t>The response memo states the panel-structure rationale precisely; the main results contain no PCSE column and make no unsupported claim that PCSE is merely an error correction.</t>
        </is>
      </c>
      <c r="Q20" s="4" t="inlineStr">
        <is>
          <t>Yes</t>
        </is>
      </c>
      <c r="R20" s="9" t="inlineStr">
        <is>
          <t>Not started</t>
        </is>
      </c>
      <c r="S20" s="10" t="inlineStr">
        <is>
          <t>2-Oct meeting reaffirms exclusion from the main table and requires a precise technical rationale rather than a generic claim that PCSE merely corrects errors.</t>
        </is>
      </c>
    </row>
    <row r="21" ht="104" customHeight="1" s="40">
      <c r="A21" s="4" t="inlineStr">
        <is>
          <t>MR-18</t>
        </is>
      </c>
      <c r="B21" s="4" t="inlineStr">
        <is>
          <t>M-16, M-17; A-18 via Martin</t>
        </is>
      </c>
      <c r="C21" s="4" t="inlineStr">
        <is>
          <t>OG-08</t>
        </is>
      </c>
      <c r="D21" s="11" t="inlineStr">
        <is>
          <t>Critical</t>
        </is>
      </c>
      <c r="E21" s="4" t="inlineStr">
        <is>
          <t>Maximo; reinforced by Martin</t>
        </is>
      </c>
      <c r="F21" s="4" t="inlineStr">
        <is>
          <t>The full model does not show how correlated aggregate regressors alter one another. Sequential specifications and correlation diagnostics are required.</t>
        </is>
      </c>
      <c r="G21" s="12" t="inlineStr">
        <is>
          <t>Maximo p. 4; Martin annotations/messages 24-25 Sep-2026; attached four-model table dated 25-Sep-2026</t>
        </is>
      </c>
      <c r="H21" s="4" t="inlineStr">
        <is>
          <t>Agrees / strongly agrees</t>
        </is>
      </c>
      <c r="I21" s="12" t="inlineStr">
        <is>
          <t>25-Sep: one consolidated four-column FE-DK table with nominal FED3M. 27-Sep: SELIC/Brazil 3M is referee-only. 2-Oct meeting: complete the explanatory-variable freeze first, then generate the new corrected DK regressions and robustness results for Martin by 10-Oct-2026; interpret/rewrite only after seeing the new estimates.</t>
        </is>
      </c>
      <c r="J21" s="4" t="inlineStr">
        <is>
          <t>This is now an exact paper/seminar output design rather than a generic robustness request. Two source ambiguities must be confirmed instead of silently resolved: Model 1 marks both NER and RER, and the text asks for sequential stacking while the template includes firm/bond controls in all four columns.</t>
        </is>
      </c>
      <c r="K21" s="4" t="inlineStr">
        <is>
          <t>A - Methodological issue / additional estimation</t>
        </is>
      </c>
      <c r="L21" s="4" t="inlineStr">
        <is>
          <t>Secs. 4.6-4.8, 5.1-5.4; Annex 8.11</t>
        </is>
      </c>
      <c r="M21" s="4" t="inlineStr">
        <is>
          <t>After the panel is frozen, implement the four core bond-FE/DK columns using the finalized regressors and nominal FED3M. Report correlations/coefficient movements and required statistics. Then run the scoped Brazil 3M DI robustness with FED3M retained vs omitted. Keep covariance alternatives out of the main table. Deliver the new-results package by 10-Oct-2026.</t>
        </is>
      </c>
      <c r="N21" s="4" t="inlineStr">
        <is>
          <t>Additional estimation + single consolidated table + optional robustness</t>
        </is>
      </c>
      <c r="O21" s="4" t="inlineStr">
        <is>
          <t>MR-01, MR-03, MR-04, MR-16; confirmed model grid</t>
        </is>
      </c>
      <c r="P21" s="4" t="inlineStr">
        <is>
          <t>One pre-specified FE-DK table uses nominal FED3M Forward, documents every included block, reports diagnostics/statistics, and does not silently resolve the NER/RER or stacking ambiguities. Any SELIC columns are clearly separated and labeled referee-only.</t>
        </is>
      </c>
      <c r="Q21" s="4" t="inlineStr">
        <is>
          <t>Yes</t>
        </is>
      </c>
      <c r="R21" s="9" t="inlineStr">
        <is>
          <t>Not started</t>
        </is>
      </c>
      <c r="S21" s="10" t="inlineStr">
        <is>
          <t>Old 30-Sep target superseded. New director target: corrected regressions plus revised deck by 10-Oct-2026; review together during the week of 13-Oct-2026.</t>
        </is>
      </c>
    </row>
    <row r="22" ht="104" customHeight="1" s="40">
      <c r="A22" s="4" t="inlineStr">
        <is>
          <t>MR-19</t>
        </is>
      </c>
      <c r="B22" s="4" t="inlineStr">
        <is>
          <t>M-10, M-18; A-10, A-16; D-06, D-09, D-11, D-12, D-18</t>
        </is>
      </c>
      <c r="C22" s="4" t="inlineStr">
        <is>
          <t>OG-08</t>
        </is>
      </c>
      <c r="D22" s="11" t="inlineStr">
        <is>
          <t>Critical</t>
        </is>
      </c>
      <c r="E22" s="4" t="inlineStr">
        <is>
          <t>Ailin + Maximo + Daniel</t>
        </is>
      </c>
      <c r="F22" s="4" t="inlineStr">
        <is>
          <t>The submitted narrative relies on estimator-sensitive significance. Daniel asks that hypotheses be tied explicitly to final results and counterintuitive signs be explained better.</t>
        </is>
      </c>
      <c r="G22" s="12" t="inlineStr">
        <is>
          <t>Ailin pp. 3-4; Maximo pp. 3-5; Daniel pp. 2-3</t>
        </is>
      </c>
      <c r="H22" s="4" t="inlineStr">
        <is>
          <t>Agrees / strongly agrees</t>
        </is>
      </c>
      <c r="I22" s="12" t="inlineStr">
        <is>
          <t>24-Sep-2026: treat Daniel mainly as an exposition task after the core spread and DK work. Rebuild interpretations only after final estimates.</t>
        </is>
      </c>
      <c r="J22" s="4" t="inlineStr">
        <is>
          <t>Required downstream rewrite, not a separate empirical choice.</t>
        </is>
      </c>
      <c r="K22" s="4" t="inlineStr">
        <is>
          <t>B - Clarification / reframing</t>
        </is>
      </c>
      <c r="L22" s="4" t="inlineStr">
        <is>
          <t>Resumen/Abstract; Secs. 5.2-5.4; Secs. 6.1-6.4; Tables 3 and 7</t>
        </is>
      </c>
      <c r="M22" s="4" t="inlineStr">
        <is>
          <t>After the estimation freeze, classify every hypothesis/result as robust, partial/sensitive, null or unresolved. Explain counterintuitive signs against the final DK sequence and avoid carrying old PCSE/FE claims forward.</t>
        </is>
      </c>
      <c r="N22" s="4" t="inlineStr">
        <is>
          <t>Results/abstract/conclusions rewrite</t>
        </is>
      </c>
      <c r="O22" s="4" t="inlineStr">
        <is>
          <t>MR-01 through MR-18 finalized</t>
        </is>
      </c>
      <c r="P22" s="4" t="inlineStr">
        <is>
          <t>A hypothesis-to-result and table-to-text audit confirms every sign, magnitude and significance statement.</t>
        </is>
      </c>
      <c r="Q22" s="4" t="inlineStr">
        <is>
          <t>Yes</t>
        </is>
      </c>
      <c r="R22" s="9" t="inlineStr">
        <is>
          <t>Not started</t>
        </is>
      </c>
      <c r="S22" s="10" t="n"/>
    </row>
    <row r="23" ht="104" customHeight="1" s="40">
      <c r="A23" s="4" t="inlineStr">
        <is>
          <t>MR-20</t>
        </is>
      </c>
      <c r="B23" s="4" t="inlineStr">
        <is>
          <t>M-11; D-08, D-17</t>
        </is>
      </c>
      <c r="C23" s="4" t="inlineStr">
        <is>
          <t>OG-09</t>
        </is>
      </c>
      <c r="D23" s="15" t="inlineStr">
        <is>
          <t>Low</t>
        </is>
      </c>
      <c r="E23" s="4" t="inlineStr">
        <is>
          <t>Maximo + Daniel</t>
        </is>
      </c>
      <c r="F23" s="4" t="inlineStr">
        <is>
          <t>Persistence, serial correlation and inability to apply standard unit-root tests raise questions about dynamics and stationarity.</t>
        </is>
      </c>
      <c r="G23" s="12" t="inlineStr">
        <is>
          <t>Maximo pp. 3-4; Daniel pp. 2-3</t>
        </is>
      </c>
      <c r="H23" s="4" t="inlineStr">
        <is>
          <t>Disagrees / not endorsed</t>
        </is>
      </c>
      <c r="I23" s="12" t="inlineStr">
        <is>
          <t>Do not convert the thesis to a dynamic panel or add a monthly lagged spread; markets are forward-looking. Acknowledge the limitation and answer it.</t>
        </is>
      </c>
      <c r="J23" s="4" t="inlineStr">
        <is>
          <t>The concern is real, but DK does not solve non-stationarity. A bounded explanation is required; first-difference work remains optional.</t>
        </is>
      </c>
      <c r="K23" s="4" t="inlineStr">
        <is>
          <t>D - Not endorsed / optional / response only</t>
        </is>
      </c>
      <c r="L23" s="4" t="inlineStr">
        <is>
          <t>Sec. 4.6; Sec. 5.1; Annex 8.11</t>
        </is>
      </c>
      <c r="M23" s="4" t="inlineStr">
        <is>
          <t>Explain the static monthly specification, acknowledge persistence/unit-root limits and avoid claiming they are tested away. Keep first-difference robustness optional.</t>
        </is>
      </c>
      <c r="N23" s="4" t="inlineStr">
        <is>
          <t>No mandatory estimation; optional robustness</t>
        </is>
      </c>
      <c r="O23" s="4" t="inlineStr">
        <is>
          <t>MR-16 and MR-25</t>
        </is>
      </c>
      <c r="P23" s="4" t="inlineStr">
        <is>
          <t>The response memo justifies the non-change and the thesis states the limitation accurately.</t>
        </is>
      </c>
      <c r="Q23" s="4" t="inlineStr">
        <is>
          <t>No - response only</t>
        </is>
      </c>
      <c r="R23" s="9" t="inlineStr">
        <is>
          <t>Not started</t>
        </is>
      </c>
      <c r="S23" s="10" t="n"/>
    </row>
    <row r="24" ht="104" customHeight="1" s="40">
      <c r="A24" s="4" t="inlineStr">
        <is>
          <t>MR-21</t>
        </is>
      </c>
      <c r="B24" s="4" t="inlineStr">
        <is>
          <t>M-12</t>
        </is>
      </c>
      <c r="C24" s="4" t="inlineStr">
        <is>
          <t>OG-09</t>
        </is>
      </c>
      <c r="D24" s="16" t="inlineStr">
        <is>
          <t>Medium</t>
        </is>
      </c>
      <c r="E24" s="4" t="inlineStr">
        <is>
          <t>Maximo</t>
        </is>
      </c>
      <c r="F24" s="4" t="inlineStr">
        <is>
          <t>Collin-Dufresne, Goldstein and Martin (2001) is cited to justify levels although it studies spread changes.</t>
        </is>
      </c>
      <c r="G24" s="12" t="inlineStr">
        <is>
          <t>Maximo p. 3</t>
        </is>
      </c>
      <c r="H24" s="4" t="inlineStr">
        <is>
          <t>Agrees / strongly agrees</t>
        </is>
      </c>
      <c r="I24" s="12" t="inlineStr">
        <is>
          <t>24-Sep-2026: bibliography corrections are minor but should be made.</t>
        </is>
      </c>
      <c r="J24" s="4" t="inlineStr">
        <is>
          <t>Valid citation-accuracy correction independent of the model debate.</t>
        </is>
      </c>
      <c r="K24" s="4" t="inlineStr">
        <is>
          <t>C - Presentation / structure / literature / documentation</t>
        </is>
      </c>
      <c r="L24" s="4" t="inlineStr">
        <is>
          <t>Secs. 3.3 and 4.6; References</t>
        </is>
      </c>
      <c r="M24" s="4" t="inlineStr">
        <is>
          <t>Correct the citation and retain only sources that actually support the chosen specification.</t>
        </is>
      </c>
      <c r="N24" s="4" t="inlineStr">
        <is>
          <t>Literature correction</t>
        </is>
      </c>
      <c r="O24" s="4" t="n"/>
      <c r="P24" s="4" t="inlineStr">
        <is>
          <t>The paper is described accurately and no unsupported citation claim remains.</t>
        </is>
      </c>
      <c r="Q24" s="4" t="inlineStr">
        <is>
          <t>Yes</t>
        </is>
      </c>
      <c r="R24" s="9" t="inlineStr">
        <is>
          <t>Not started</t>
        </is>
      </c>
      <c r="S24" s="10" t="n"/>
    </row>
    <row r="25" ht="165" customHeight="1" s="40">
      <c r="A25" s="4" t="inlineStr">
        <is>
          <t>MR-22</t>
        </is>
      </c>
      <c r="B25" s="4" t="inlineStr">
        <is>
          <t>M-13</t>
        </is>
      </c>
      <c r="C25" s="4" t="inlineStr">
        <is>
          <t>OG-10</t>
        </is>
      </c>
      <c r="D25" s="16" t="inlineStr">
        <is>
          <t>Medium</t>
        </is>
      </c>
      <c r="E25" s="4" t="inlineStr">
        <is>
          <t>Maximo</t>
        </is>
      </c>
      <c r="F25" s="4" t="inlineStr">
        <is>
          <t>Debt/GDP is described as significant at 1 percent in text while the DK table reports 5 percent.</t>
        </is>
      </c>
      <c r="G25" s="12" t="inlineStr">
        <is>
          <t>Maximo pp. 3-4</t>
        </is>
      </c>
      <c r="H25" s="4" t="inlineStr">
        <is>
          <t>No explicit position</t>
        </is>
      </c>
      <c r="I25" s="12" t="inlineStr">
        <is>
          <t>Covered by the instruction to rewrite results after final DK estimates.</t>
        </is>
      </c>
      <c r="J25" s="4" t="inlineStr">
        <is>
          <t>The original significance discrepancy is a reporting error. The deeper semantic issue is now resolved pre-freeze: legacy debt_gdp is Bloomberg EHBBBR fiscal/budget balance (% GDP), while the thesis H8 / variable definition and Martin's requested macro block require a public-debt/GDP stock. Decision: replace EHBBBR with official BCB SGS 13762 Gross General Government Debt (% GDP) using the selected uniform L2 timing rule during the controlled rebuild. The remaining MR-22 task is to reconcile the coefficient/significance wording against the final frozen-panel DK estimates.</t>
        </is>
      </c>
      <c r="K25" s="4" t="inlineStr">
        <is>
          <t>C - Presentation / structure / literature / documentation</t>
        </is>
      </c>
      <c r="L25" s="4" t="inlineStr">
        <is>
          <t>Sec. 5.2.2; Table 3; Annex Table 7</t>
        </is>
      </c>
      <c r="M25" s="4" t="inlineStr">
        <is>
          <t>During the one controlled reproducible panel rebuild, replace legacy debt_gdp/EHBBBR with BCB SGS 13762 and use the final field name public_debt_gdp with the selected uniform L2 reference-month mapping; update data/code/table/thesis labels consistently. After the frozen-panel FE-DK rerun, reconcile the reported significance level and run a complete table-to-text audit.</t>
        </is>
      </c>
      <c r="N25" s="4" t="inlineStr">
        <is>
          <t>Text correction</t>
        </is>
      </c>
      <c r="O25" s="4" t="inlineStr">
        <is>
          <t>WP-06 fiscal-control decision; MR-19</t>
        </is>
      </c>
      <c r="P25" s="4" t="inlineStr">
        <is>
          <t>Economic concept/label is correct and the final coefficient/significance wording matches the final DK table exactly.</t>
        </is>
      </c>
      <c r="Q25" s="4" t="inlineStr">
        <is>
          <t>Yes</t>
        </is>
      </c>
      <c r="R25" s="9" t="inlineStr">
        <is>
          <t>In progress</t>
        </is>
      </c>
      <c r="S25" s="10" t="inlineStr">
        <is>
          <t>3-Oct audit traced legacy debt_gdp to Bloomberg EHBBBR fiscal/budget balance, not public debt/GDP. 5-Oct decision selected BCB SGS 13762 Gross General Government Debt (% GDP) with uniform L2 timing. 9-Oct-2026 WP-06 closure: the reproducible builder now implements the uniform L2 mapping across all 175 revised months and the frozen candidate panel contains the corrected debt-stock control. Implementation/reproducibility is closed under commit 23435a4. MR-22 remains In progress only for the post-freeze coefficient/significance wording and final table-to-text audit after WP-07/WP-08 estimates.</t>
        </is>
      </c>
    </row>
    <row r="26" ht="104" customHeight="1" s="40">
      <c r="A26" s="4" t="inlineStr">
        <is>
          <t>MR-23</t>
        </is>
      </c>
      <c r="B26" s="4" t="inlineStr">
        <is>
          <t>M-14</t>
        </is>
      </c>
      <c r="C26" s="4" t="inlineStr">
        <is>
          <t>OG-10</t>
        </is>
      </c>
      <c r="D26" s="16" t="inlineStr">
        <is>
          <t>Medium</t>
        </is>
      </c>
      <c r="E26" s="4" t="inlineStr">
        <is>
          <t>Maximo</t>
        </is>
      </c>
      <c r="F26" s="4" t="inlineStr">
        <is>
          <t>The thesis says PCSE corrects serial correlation, which is not necessarily true without an explicit autoregressive transformation.</t>
        </is>
      </c>
      <c r="G26" s="12" t="inlineStr">
        <is>
          <t>Maximo p. 4</t>
        </is>
      </c>
      <c r="H26" s="4" t="inlineStr">
        <is>
          <t>Agrees / strongly agrees</t>
        </is>
      </c>
      <c r="I26" s="12" t="inlineStr">
        <is>
          <t>Remove PCSE from the main thesis/seminar and delete unsupported claims. 2-Oct meeting adds that FE defines the coefficient estimation while PCSE/DK primarily alter covariance/inference; verify the exact correlation/heteroskedasticity assumptions before writing the methods text.</t>
        </is>
      </c>
      <c r="J26" s="4" t="inlineStr">
        <is>
          <t>Valid technical correction.</t>
        </is>
      </c>
      <c r="K26" s="4" t="inlineStr">
        <is>
          <t>C - Presentation / structure / literature / documentation</t>
        </is>
      </c>
      <c r="L26" s="4" t="inlineStr">
        <is>
          <t>Secs. 4.8, 5.1; Annex 8.10.4</t>
        </is>
      </c>
      <c r="M26" s="4" t="inlineStr">
        <is>
          <t>Delete the unsupported statement that PCSE automatically corrects serial correlation. If PCSE is mentioned in an appendix, state the exact command/error structure and limitations. In the main methods discussion, distinguish FE coefficient estimation from DK/PCSE covariance treatment and cite an appropriate econometrics reference.</t>
        </is>
      </c>
      <c r="N26" s="4" t="inlineStr">
        <is>
          <t>Technical text correction</t>
        </is>
      </c>
      <c r="O26" s="4" t="inlineStr">
        <is>
          <t>MR-17</t>
        </is>
      </c>
      <c r="P26" s="4" t="inlineStr">
        <is>
          <t>No unsupported PCSE statement remains.</t>
        </is>
      </c>
      <c r="Q26" s="4" t="inlineStr">
        <is>
          <t>Yes</t>
        </is>
      </c>
      <c r="R26" s="9" t="inlineStr">
        <is>
          <t>Not started</t>
        </is>
      </c>
      <c r="S26" s="10" t="n"/>
    </row>
    <row r="27" ht="104" customHeight="1" s="40">
      <c r="A27" s="4" t="inlineStr">
        <is>
          <t>MR-24</t>
        </is>
      </c>
      <c r="B27" s="4" t="inlineStr">
        <is>
          <t>M-15</t>
        </is>
      </c>
      <c r="C27" s="4" t="inlineStr">
        <is>
          <t>OG-10</t>
        </is>
      </c>
      <c r="D27" s="13" t="inlineStr">
        <is>
          <t>High</t>
        </is>
      </c>
      <c r="E27" s="4" t="inlineStr">
        <is>
          <t>Maximo</t>
        </is>
      </c>
      <c r="F27" s="4" t="inlineStr">
        <is>
          <t>The main regression table omits standard errors and N.</t>
        </is>
      </c>
      <c r="G27" s="12" t="inlineStr">
        <is>
          <t>Maximo p. 4</t>
        </is>
      </c>
      <c r="H27" s="4" t="inlineStr">
        <is>
          <t>Agrees / strongly agrees</t>
        </is>
      </c>
      <c r="I27" s="12" t="inlineStr">
        <is>
          <t>25-Sep-2026: the director-provided table explicitly requests Within R-squared and rho under each of the four FE-DK models. Existing matrix requirements for SE, N, panel dimensions and DK metadata remain.</t>
        </is>
      </c>
      <c r="J27" s="4" t="inlineStr">
        <is>
          <t>Essential reporting standard.</t>
        </is>
      </c>
      <c r="K27" s="4" t="inlineStr">
        <is>
          <t>C - Presentation / structure / literature / documentation</t>
        </is>
      </c>
      <c r="L27" s="4" t="inlineStr">
        <is>
          <t>Table 3; Annex Table 7; table notes</t>
        </is>
      </c>
      <c r="M27" s="4" t="inlineStr">
        <is>
          <t>Build one consolidated FE-DK table reporting coefficient, standard error, N, bonds, issuers, months, within R2, rho, FE type, DK lag, units and significance legend; place diagnostic-test information immediately below or in a linked panel.</t>
        </is>
      </c>
      <c r="N27" s="4" t="inlineStr">
        <is>
          <t>Table redesign</t>
        </is>
      </c>
      <c r="O27" s="4" t="inlineStr">
        <is>
          <t>MR-16 and MR-18</t>
        </is>
      </c>
      <c r="P27" s="4" t="inlineStr">
        <is>
          <t>A reader can evaluate every coefficient and model statistic in the single consolidated table and compare specifications directly.</t>
        </is>
      </c>
      <c r="Q27" s="4" t="inlineStr">
        <is>
          <t>Yes</t>
        </is>
      </c>
      <c r="R27" s="9" t="inlineStr">
        <is>
          <t>Not started</t>
        </is>
      </c>
      <c r="S27" s="10" t="inlineStr">
        <is>
          <t>The attached 25-Sep template names Within R-squared and rho explicitly.</t>
        </is>
      </c>
    </row>
    <row r="28" ht="104" customHeight="1" s="40">
      <c r="A28" s="4" t="inlineStr">
        <is>
          <t>MR-25</t>
        </is>
      </c>
      <c r="B28" s="4" t="inlineStr">
        <is>
          <t>A-10, A-12; M-11, M-16</t>
        </is>
      </c>
      <c r="C28" s="4" t="inlineStr">
        <is>
          <t>OG-11</t>
        </is>
      </c>
      <c r="D28" s="13" t="inlineStr">
        <is>
          <t>High</t>
        </is>
      </c>
      <c r="E28" s="4" t="inlineStr">
        <is>
          <t>Ailin + Maximo</t>
        </is>
      </c>
      <c r="F28" s="4" t="inlineStr">
        <is>
          <t>Stale or lagged OTC quotes may mechanically compress measured spreads when the liquid reference curve moves quickly.</t>
        </is>
      </c>
      <c r="G28" s="12" t="inlineStr">
        <is>
          <t>Ailin pp. 3, 5-6; Maximo pp. 3-4</t>
        </is>
      </c>
      <c r="H28" s="4" t="inlineStr">
        <is>
          <t>Partially agrees</t>
        </is>
      </c>
      <c r="I28" s="12" t="inlineStr">
        <is>
          <t>Earlier guidance: add the limitation and a bounded diagnostic. 2-Oct meeting: first try the regenerated model without the prior-value fill-forward. If the no-fill sample is impractical because of illiquidity/coverage, explain the technical/data constraint and the rationale for a last-observed-quote convention. Thiago also described excluding Bloomberg BVAL/Bival indicative/model marks; document this rule explicitly.</t>
        </is>
      </c>
      <c r="J28" s="4" t="inlineStr">
        <is>
          <t>Serious OTC measurement limitation that now has a concrete data-treatment audit: observed-source hierarchy/BVAL treatment plus fill-forward sensitivity. Excluding BVAL does not make every remaining quote a transaction, so source semantics must be precise.</t>
        </is>
      </c>
      <c r="K28" s="4" t="inlineStr">
        <is>
          <t>B - Clarification / reframing</t>
        </is>
      </c>
      <c r="L28" s="4" t="inlineStr">
        <is>
          <t>Secs. 2.1.1, 4.5.2, 4.6, 5.2.1, 5.2.3, 6.1-6.3; Annex 8.2 and 8.5</t>
        </is>
      </c>
      <c r="M28" s="4" t="inlineStr">
        <is>
          <t>Treat the revised corporate pricing/source hierarchy as the frozen baseline rule. The problematic BVAL/indicative observation was already replaced by the next-best available source rather than retained under its odd convention; document this explicitly. Do not reopen the source-selection decision absent material new evidence. Any no-fill-forward or alternative missing-price convention is sensitivity only after the authoritative panel is built.</t>
        </is>
      </c>
      <c r="N28" s="4" t="inlineStr">
        <is>
          <t>Data-treatment audit + sensitivity estimation + text</t>
        </is>
      </c>
      <c r="O28" s="4" t="inlineStr">
        <is>
          <t>MR-03; source fields; Data Freeze Gate / final panel build</t>
        </is>
      </c>
      <c r="P28" s="4" t="inlineStr">
        <is>
          <t>Pricing-source semantics and the baseline source hierarchy are explicit and reproducible; BVAL/indicative marks are not silently treated as executed prices. The baseline source decision is frozen before the controlled panel rebuild; alternative missing-price treatment, if run, is clearly sensitivity.</t>
        </is>
      </c>
      <c r="Q28" s="4" t="inlineStr">
        <is>
          <t>Yes - minimum scope</t>
        </is>
      </c>
      <c r="R28" s="9" t="inlineStr">
        <is>
          <t>In progress</t>
        </is>
      </c>
      <c r="S28" s="10" t="inlineStr">
        <is>
          <t>7-Oct governance closure froze the revised corporate-pricing/source hierarchy and BVAL replacement rule. 9-Oct-2026 Data Freeze PASS embeds that authoritative pricing input in the reproducible 4,648-row panel under commit 23435a4. No pre-freeze pricing decision remains open. Remaining MR-25 work is documentation and, only if useful after the core rerun, a separately labelled no-fill-forward/missing-price sensitivity.</t>
        </is>
      </c>
    </row>
    <row r="29" ht="104" customHeight="1" s="40">
      <c r="A29" s="4" t="inlineStr">
        <is>
          <t>MR-26</t>
        </is>
      </c>
      <c r="B29" s="4" t="inlineStr">
        <is>
          <t>A-10, A-11, A-16; M-16, M-18</t>
        </is>
      </c>
      <c r="C29" s="4" t="inlineStr">
        <is>
          <t>OG-11</t>
        </is>
      </c>
      <c r="D29" s="13" t="inlineStr">
        <is>
          <t>High</t>
        </is>
      </c>
      <c r="E29" s="4" t="inlineStr">
        <is>
          <t>Ailin + Maximo</t>
        </is>
      </c>
      <c r="F29" s="4" t="inlineStr">
        <is>
          <t>Unexpected signs are discussed with generic emerging-market narratives rather than Brazil-specific institutions.</t>
        </is>
      </c>
      <c r="G29" s="12" t="inlineStr">
        <is>
          <t>Ailin pp. 3-4; Maximo pp. 4-5</t>
        </is>
      </c>
      <c r="H29" s="4" t="inlineStr">
        <is>
          <t>Agrees / strongly agrees</t>
        </is>
      </c>
      <c r="I29" s="12" t="inlineStr">
        <is>
          <t>Use Selic/DI/IPCA structure, institutional investors, indexed liabilities and Law 12.431 in interpretation. 25-Sep-2026: Martin reports nominal and real exchange rates give almost the same result/significance; RER remains meaningful as a relative price. 27-Sep: the local reference curve already embeds SELIC at the short end; any direct SELIC 3M Forward regression is only a referee diagnostic.</t>
        </is>
      </c>
      <c r="J29" s="4" t="inlineStr">
        <is>
          <t>Valid reframing; mechanisms must be distinguished from tested evidence.</t>
        </is>
      </c>
      <c r="K29" s="4" t="inlineStr">
        <is>
          <t>B - Clarification / reframing</t>
        </is>
      </c>
      <c r="L29" s="4" t="inlineStr">
        <is>
          <t>Secs. 2.1.1, 3.1, 5.2.1, 5.2.3, 5.4, 6.1-6.3; Glossary</t>
        </is>
      </c>
      <c r="M29" s="4" t="inlineStr">
        <is>
          <t>Rewrite mechanisms around Brazilian real-rate institutions, distinguish evidence from plausible channels, and explain the RER robustness as a relative-price channel. Do not add SELIC mechanically to the baseline or reintroduce inflation without a clear identification role.</t>
        </is>
      </c>
      <c r="N29" s="4" t="inlineStr">
        <is>
          <t>Interpretation rewrite</t>
        </is>
      </c>
      <c r="O29" s="4" t="inlineStr">
        <is>
          <t>MR-01, MR-04, MR-06/07, MR-19, MR-25</t>
        </is>
      </c>
      <c r="P29" s="4" t="inlineStr">
        <is>
          <t>Every counterintuitive sign has a Brazil-specific but appropriately qualified interpretation.</t>
        </is>
      </c>
      <c r="Q29" s="4" t="inlineStr">
        <is>
          <t>Yes</t>
        </is>
      </c>
      <c r="R29" s="9" t="inlineStr">
        <is>
          <t>Not started</t>
        </is>
      </c>
      <c r="S29" s="10" t="inlineStr">
        <is>
          <t>NER/RER similarity is a reported director observation to verify in the regenerated estimates.</t>
        </is>
      </c>
    </row>
    <row r="30" ht="104" customHeight="1" s="40">
      <c r="A30" s="4" t="inlineStr">
        <is>
          <t>MR-27</t>
        </is>
      </c>
      <c r="B30" s="4" t="inlineStr">
        <is>
          <t>A-08, A-09</t>
        </is>
      </c>
      <c r="C30" s="4" t="inlineStr">
        <is>
          <t>OG-12</t>
        </is>
      </c>
      <c r="D30" s="11" t="inlineStr">
        <is>
          <t>Critical</t>
        </is>
      </c>
      <c r="E30" s="4" t="inlineStr">
        <is>
          <t>Ailin</t>
        </is>
      </c>
      <c r="F30" s="4" t="inlineStr">
        <is>
          <t>The thesis lacks a complete computational replication package, including source consolidation, queries, dates, code and Nelson-Siegel settings.</t>
        </is>
      </c>
      <c r="G30" s="12" t="inlineStr">
        <is>
          <t>Ailin p. 2, p. 10, M7</t>
        </is>
      </c>
      <c r="H30" s="4" t="inlineStr">
        <is>
          <t>Agrees / strongly agrees</t>
        </is>
      </c>
      <c r="I30" s="12" t="inlineStr">
        <is>
          <t>Deliver the complete package, subject to data licensing.</t>
        </is>
      </c>
      <c r="J30" s="4" t="inlineStr">
        <is>
          <t>Mandatory submission deliverable.</t>
        </is>
      </c>
      <c r="K30" s="4" t="inlineStr">
        <is>
          <t>C - Presentation / structure / literature / documentation</t>
        </is>
      </c>
      <c r="L30" s="4" t="inlineStr">
        <is>
          <t>Secs. 4.4-4.5; Annex 8.1-8.14</t>
        </is>
      </c>
      <c r="M30" s="4" t="inlineStr">
        <is>
          <t>Create README, environment, ordered scripts, queries, extraction dates, hashes, OTC source rules, missing/outlier treatment, accounting timing and curve-estimation settings. Clean-run all outputs.</t>
        </is>
      </c>
      <c r="N30" s="4" t="inlineStr">
        <is>
          <t>Replication package / documentation</t>
        </is>
      </c>
      <c r="O30" s="4" t="inlineStr">
        <is>
          <t>Final code and outputs</t>
        </is>
      </c>
      <c r="P30" s="4" t="inlineStr">
        <is>
          <t>A clean run regenerates every permitted table and figure.</t>
        </is>
      </c>
      <c r="Q30" s="4" t="inlineStr">
        <is>
          <t>Yes</t>
        </is>
      </c>
      <c r="R30" s="9" t="inlineStr">
        <is>
          <t>Not started</t>
        </is>
      </c>
      <c r="S30" s="10" t="n"/>
    </row>
    <row r="31" ht="104" customHeight="1" s="40">
      <c r="A31" s="4" t="inlineStr">
        <is>
          <t>MR-28</t>
        </is>
      </c>
      <c r="B31" s="4" t="inlineStr">
        <is>
          <t>A-08</t>
        </is>
      </c>
      <c r="C31" s="4" t="inlineStr">
        <is>
          <t>OG-12</t>
        </is>
      </c>
      <c r="D31" s="16" t="inlineStr">
        <is>
          <t>Medium</t>
        </is>
      </c>
      <c r="E31" s="4" t="inlineStr">
        <is>
          <t>Ailin</t>
        </is>
      </c>
      <c r="F31" s="4" t="inlineStr">
        <is>
          <t>Bloomberg is sometimes described as the original source where it is an access vendor or aggregator.</t>
        </is>
      </c>
      <c r="G31" s="12" t="inlineStr">
        <is>
          <t>Ailin p. 2</t>
        </is>
      </c>
      <c r="H31" s="4" t="inlineStr">
        <is>
          <t>No explicit position</t>
        </is>
      </c>
      <c r="I31" s="12" t="inlineStr">
        <is>
          <t>Covered within the broader replication package.</t>
        </is>
      </c>
      <c r="J31" s="4" t="inlineStr">
        <is>
          <t>Valid provenance issue.</t>
        </is>
      </c>
      <c r="K31" s="4" t="inlineStr">
        <is>
          <t>C - Presentation / structure / literature / documentation</t>
        </is>
      </c>
      <c r="L31" s="4" t="inlineStr">
        <is>
          <t>Secs. 2.1.1, 4.5.2-4.5.3; figure notes; References; Annex A</t>
        </is>
      </c>
      <c r="M31" s="4" t="inlineStr">
        <is>
          <t>Create a data dictionary separating original producer, access channel, ticker/query, field, frequency, transformation and extraction date.</t>
        </is>
      </c>
      <c r="N31" s="4" t="inlineStr">
        <is>
          <t>Source and documentation revision</t>
        </is>
      </c>
      <c r="O31" s="4" t="inlineStr">
        <is>
          <t>MR-27</t>
        </is>
      </c>
      <c r="P31" s="4" t="inlineStr">
        <is>
          <t>Every variable and figure has a traceable provenance chain.</t>
        </is>
      </c>
      <c r="Q31" s="4" t="inlineStr">
        <is>
          <t>Yes</t>
        </is>
      </c>
      <c r="R31" s="9" t="inlineStr">
        <is>
          <t>Not started</t>
        </is>
      </c>
      <c r="S31" s="10" t="n"/>
    </row>
    <row r="32" ht="104" customHeight="1" s="40">
      <c r="A32" s="4" t="inlineStr">
        <is>
          <t>MR-29</t>
        </is>
      </c>
      <c r="B32" s="4" t="inlineStr">
        <is>
          <t>A-15</t>
        </is>
      </c>
      <c r="C32" s="4" t="inlineStr">
        <is>
          <t>OG-13</t>
        </is>
      </c>
      <c r="D32" s="15" t="inlineStr">
        <is>
          <t>Low</t>
        </is>
      </c>
      <c r="E32" s="4" t="inlineStr">
        <is>
          <t>Ailin</t>
        </is>
      </c>
      <c r="F32" s="4" t="inlineStr">
        <is>
          <t>Build a new sovereign-versus-corporate breakeven analysis including synthetic fixed-rate equivalents for CDI-linked debentures.</t>
        </is>
      </c>
      <c r="G32" s="12" t="inlineStr">
        <is>
          <t>Ailin pp. 8-10, M6</t>
        </is>
      </c>
      <c r="H32" s="4" t="inlineStr">
        <is>
          <t>Disagrees / not endorsed</t>
        </is>
      </c>
      <c r="I32" s="12" t="inlineStr">
        <is>
          <t>This is a separate research project; the thesis must have a bounded end.</t>
        </is>
      </c>
      <c r="J32" s="4" t="inlineStr">
        <is>
          <t>Not proportionate to the current TFM revision.</t>
        </is>
      </c>
      <c r="K32" s="4" t="inlineStr">
        <is>
          <t>D - Not endorsed / optional / response only</t>
        </is>
      </c>
      <c r="L32" s="4" t="inlineStr">
        <is>
          <t>Would require major new material beyond Secs. 4-6 and Annex A</t>
        </is>
      </c>
      <c r="M32" s="4" t="inlineStr">
        <is>
          <t>Do not add the full exercise. Mention it as a future research extension and explain scope in the response memo.</t>
        </is>
      </c>
      <c r="N32" s="4" t="inlineStr">
        <is>
          <t>No thesis modification beyond future research</t>
        </is>
      </c>
      <c r="O32" s="4" t="n"/>
      <c r="P32" s="4" t="inlineStr">
        <is>
          <t>Future-research paragraph captures the idea without implying it was estimated.</t>
        </is>
      </c>
      <c r="Q32" s="4" t="inlineStr">
        <is>
          <t>No - response only</t>
        </is>
      </c>
      <c r="R32" s="9" t="inlineStr">
        <is>
          <t>Not started</t>
        </is>
      </c>
      <c r="S32" s="10" t="n"/>
    </row>
    <row r="33" ht="104" customHeight="1" s="40">
      <c r="A33" s="4" t="inlineStr">
        <is>
          <t>MR-30</t>
        </is>
      </c>
      <c r="B33" s="4" t="inlineStr">
        <is>
          <t>A-10, A-11, A-16, A-18; M-10, M-16, M-18; D-01, D-04, D-09, D-10, D-12, D-13, D-16, D-18</t>
        </is>
      </c>
      <c r="C33" s="4" t="inlineStr">
        <is>
          <t>OG-11</t>
        </is>
      </c>
      <c r="D33" s="11" t="inlineStr">
        <is>
          <t>Critical</t>
        </is>
      </c>
      <c r="E33" s="4" t="inlineStr">
        <is>
          <t>Ailin + Maximo + Daniel</t>
        </is>
      </c>
      <c r="F33" s="4" t="inlineStr">
        <is>
          <t>The abstract, results and conclusions over-center anomalous signs and imply broader hypothesis confirmation than the estimator sensitivity supports.</t>
        </is>
      </c>
      <c r="G33" s="12" t="inlineStr">
        <is>
          <t>Ailin pp. 3-4; Maximo pp. 3-5; Daniel pp. 1-3</t>
        </is>
      </c>
      <c r="H33" s="4" t="inlineStr">
        <is>
          <t>Agrees / strongly agrees</t>
        </is>
      </c>
      <c r="I33" s="12" t="inlineStr">
        <is>
          <t>24-Sep-2026: Daniel is less substantial, but his main expositional requests are valid: link hypotheses to results and explain counterintuitive signs. For seminars emphasize external versus internal factors and show only the final DK evidence.</t>
        </is>
      </c>
      <c r="J33" s="4" t="inlineStr">
        <is>
          <t>Final synthesis task after empirical freeze.</t>
        </is>
      </c>
      <c r="K33" s="4" t="inlineStr">
        <is>
          <t>B - Clarification / reframing</t>
        </is>
      </c>
      <c r="L33" s="4" t="inlineStr">
        <is>
          <t>Resumen/Abstract; Introduction; Secs. 5.2-5.4 and 6.1-6.4; defense/seminar deck</t>
        </is>
      </c>
      <c r="M33" s="4" t="inlineStr">
        <is>
          <t>Rewrite around a robust/partial/null/unresolved hierarchy; add a hypothesis scorecard; emphasize external versus internal determinants; explain scoped non-changes and future extensions.</t>
        </is>
      </c>
      <c r="N33" s="4" t="inlineStr">
        <is>
          <t>Full narrative rewrite + response memo</t>
        </is>
      </c>
      <c r="O33" s="4" t="inlineStr">
        <is>
          <t>All empirical and literature revisions complete</t>
        </is>
      </c>
      <c r="P33" s="4" t="inlineStr">
        <is>
          <t>Thesis, response memo and seminar deck classify each hypothesis consistently and do not overstate results.</t>
        </is>
      </c>
      <c r="Q33" s="4" t="inlineStr">
        <is>
          <t>Yes</t>
        </is>
      </c>
      <c r="R33" s="9" t="inlineStr">
        <is>
          <t>Not started</t>
        </is>
      </c>
      <c r="S33" s="10" t="n"/>
    </row>
    <row r="34" ht="104" customHeight="1" s="40">
      <c r="A34" s="4" t="inlineStr">
        <is>
          <t>MR-31</t>
        </is>
      </c>
      <c r="B34" s="4" t="inlineStr">
        <is>
          <t>D-01, D-02, D-13, D-16</t>
        </is>
      </c>
      <c r="C34" s="4" t="inlineStr">
        <is>
          <t>OG-14</t>
        </is>
      </c>
      <c r="D34" s="13" t="inlineStr">
        <is>
          <t>High</t>
        </is>
      </c>
      <c r="E34" s="4" t="inlineStr">
        <is>
          <t>Daniel</t>
        </is>
      </c>
      <c r="F34" s="4" t="inlineStr">
        <is>
          <t>The research gap and originality are asserted more than demonstrated, and three broad questions obscure the central contribution.</t>
        </is>
      </c>
      <c r="G34" s="12" t="inlineStr">
        <is>
          <t>Daniel pp. 1-3</t>
        </is>
      </c>
      <c r="H34" s="4" t="inlineStr">
        <is>
          <t>Partially agrees</t>
        </is>
      </c>
      <c r="I34" s="12" t="inlineStr">
        <is>
          <t>24-Sep-2026: Martin reads Daniel as less substantial than Ailin and Maximo. Address this as a selective exposition improvement after the spread and estimator issues, not as a redesign.</t>
        </is>
      </c>
      <c r="J34" s="4" t="inlineStr">
        <is>
          <t>Valid framing correction; final wording should match the revised evidence.</t>
        </is>
      </c>
      <c r="K34" s="4" t="inlineStr">
        <is>
          <t>B - Clarification / reframing</t>
        </is>
      </c>
      <c r="L34" s="4" t="inlineStr">
        <is>
          <t>Resumen/Abstract; Introduction; literature/framework; Sec. 6; defense/PPT</t>
        </is>
      </c>
      <c r="M34" s="4" t="inlineStr">
        <is>
          <t>State one primary question, subordinate secondary questions, and demonstrate the contribution against the closest empirical studies. Link data, curve and empirical design to concrete contributions.</t>
        </is>
      </c>
      <c r="N34" s="4" t="inlineStr">
        <is>
          <t>Introduction/contribution rewrite</t>
        </is>
      </c>
      <c r="O34" s="4" t="inlineStr">
        <is>
          <t>Final results; MR-30 and MR-34</t>
        </is>
      </c>
      <c r="P34" s="4" t="inlineStr">
        <is>
          <t>One central question and two or three evidence-backed contributions are stated clearly.</t>
        </is>
      </c>
      <c r="Q34" s="4" t="inlineStr">
        <is>
          <t>Yes</t>
        </is>
      </c>
      <c r="R34" s="9" t="inlineStr">
        <is>
          <t>Not started</t>
        </is>
      </c>
      <c r="S34" s="10" t="inlineStr">
        <is>
          <t>Secondary to Maximo-driven measurement and estimator work.</t>
        </is>
      </c>
    </row>
    <row r="35" ht="104" customHeight="1" s="40">
      <c r="A35" s="4" t="inlineStr">
        <is>
          <t>MR-32</t>
        </is>
      </c>
      <c r="B35" s="4" t="inlineStr">
        <is>
          <t>D-03, D-04, D-18</t>
        </is>
      </c>
      <c r="C35" s="4" t="inlineStr">
        <is>
          <t>OG-14</t>
        </is>
      </c>
      <c r="D35" s="13" t="inlineStr">
        <is>
          <t>High</t>
        </is>
      </c>
      <c r="E35" s="4" t="inlineStr">
        <is>
          <t>Daniel</t>
        </is>
      </c>
      <c r="F35" s="4" t="inlineStr">
        <is>
          <t>The theoretical framework is descriptive; nine hypotheses may exceed the identifying capacity of one panel and some proxies are contestable.</t>
        </is>
      </c>
      <c r="G35" s="12" t="inlineStr">
        <is>
          <t>Daniel pp. 1, 3</t>
        </is>
      </c>
      <c r="H35" s="4" t="inlineStr">
        <is>
          <t>Partially agrees</t>
        </is>
      </c>
      <c r="I35" s="12" t="inlineStr">
        <is>
          <t>Keep the paper empirical. Rationalize the theory-to-variable chain and link hypotheses to final results without a structural-theory redesign.</t>
        </is>
      </c>
      <c r="J35" s="4" t="inlineStr">
        <is>
          <t>The issue is sharper architecture, not more theory.</t>
        </is>
      </c>
      <c r="K35" s="4" t="inlineStr">
        <is>
          <t>C - Presentation / structure / literature / documentation</t>
        </is>
      </c>
      <c r="L35" s="4" t="inlineStr">
        <is>
          <t>Sec. 3; Sec. 4.1; variable definitions; results and defense</t>
        </is>
      </c>
      <c r="M35" s="4" t="inlineStr">
        <is>
          <t>Create a construct-to-proxy table; designate core versus secondary hypotheses; produce a final supported/partial/not-confirmed scorecard.</t>
        </is>
      </c>
      <c r="N35" s="4" t="inlineStr">
        <is>
          <t>Theory-to-specification mapping</t>
        </is>
      </c>
      <c r="O35" s="4" t="inlineStr">
        <is>
          <t>Final variable definitions; MR-11, MR-19, MR-30</t>
        </is>
      </c>
      <c r="P35" s="4" t="inlineStr">
        <is>
          <t>Every retained hypothesis has a defensible proxy and maps to a final result.</t>
        </is>
      </c>
      <c r="Q35" s="4" t="inlineStr">
        <is>
          <t>Yes</t>
        </is>
      </c>
      <c r="R35" s="9" t="inlineStr">
        <is>
          <t>Not started</t>
        </is>
      </c>
      <c r="S35" s="10" t="n"/>
    </row>
    <row r="36" ht="104" customHeight="1" s="40">
      <c r="A36" s="4" t="inlineStr">
        <is>
          <t>MR-33</t>
        </is>
      </c>
      <c r="B36" s="4" t="inlineStr">
        <is>
          <t>D-14</t>
        </is>
      </c>
      <c r="C36" s="4" t="inlineStr">
        <is>
          <t>OG-15</t>
        </is>
      </c>
      <c r="D36" s="16" t="inlineStr">
        <is>
          <t>Medium</t>
        </is>
      </c>
      <c r="E36" s="4" t="inlineStr">
        <is>
          <t>Daniel</t>
        </is>
      </c>
      <c r="F36" s="4" t="inlineStr">
        <is>
          <t>A final academic-language and consistency review is needed for causal wording, econometric phrasing, repetition and multilingual terminology.</t>
        </is>
      </c>
      <c r="G36" s="12" t="inlineStr">
        <is>
          <t>Daniel p. 2</t>
        </is>
      </c>
      <c r="H36" s="4" t="inlineStr">
        <is>
          <t>Partially agrees</t>
        </is>
      </c>
      <c r="I36" s="12" t="inlineStr">
        <is>
          <t>Treat as a minor final-stage correction after all estimates and tables are frozen.</t>
        </is>
      </c>
      <c r="J36" s="4" t="inlineStr">
        <is>
          <t>Low methodological risk but worthwhile for submission quality.</t>
        </is>
      </c>
      <c r="K36" s="4" t="inlineStr">
        <is>
          <t>C - Presentation / structure / literature / documentation</t>
        </is>
      </c>
      <c r="L36" s="4" t="inlineStr">
        <is>
          <t>Entire thesis</t>
        </is>
      </c>
      <c r="M36" s="4" t="inlineStr">
        <is>
          <t>Run a controlled final terminology, language, acronym, table-text and cross-reference QA pass.</t>
        </is>
      </c>
      <c r="N36" s="4" t="inlineStr">
        <is>
          <t>Final copy-edit / QA</t>
        </is>
      </c>
      <c r="O36" s="4" t="inlineStr">
        <is>
          <t>All empirical outputs and narrative revisions complete</t>
        </is>
      </c>
      <c r="P36" s="4" t="inlineStr">
        <is>
          <t>No inconsistent variable names, undefined acronyms, causal overclaims or table-text mismatch remain.</t>
        </is>
      </c>
      <c r="Q36" s="4" t="inlineStr">
        <is>
          <t>Yes</t>
        </is>
      </c>
      <c r="R36" s="9" t="inlineStr">
        <is>
          <t>Not started</t>
        </is>
      </c>
      <c r="S36" s="10" t="n"/>
    </row>
    <row r="37" ht="104" customHeight="1" s="40">
      <c r="A37" s="4" t="inlineStr">
        <is>
          <t>MR-34</t>
        </is>
      </c>
      <c r="B37" s="4" t="inlineStr">
        <is>
          <t>D-15</t>
        </is>
      </c>
      <c r="C37" s="4" t="inlineStr">
        <is>
          <t>OG-16</t>
        </is>
      </c>
      <c r="D37" s="16" t="inlineStr">
        <is>
          <t>Medium</t>
        </is>
      </c>
      <c r="E37" s="4" t="inlineStr">
        <is>
          <t>Daniel</t>
        </is>
      </c>
      <c r="F37" s="4" t="inlineStr">
        <is>
          <t>The literature review should be more critical and current; bibliometrics do not replace direct comparison with comparable empirical work.</t>
        </is>
      </c>
      <c r="G37" s="12" t="inlineStr">
        <is>
          <t>Daniel pp. 2-3</t>
        </is>
      </c>
      <c r="H37" s="4" t="inlineStr">
        <is>
          <t>Partially agrees</t>
        </is>
      </c>
      <c r="I37" s="12" t="inlineStr">
        <is>
          <t>24-Sep-2026: bibliography issues are minor. Make bounded, purpose-driven updates; do not turn the thesis into a new survey.</t>
        </is>
      </c>
      <c r="J37" s="4" t="inlineStr">
        <is>
          <t>Efficient remedy is a direct comparison tied to data, benchmark, estimator, identification and findings.</t>
        </is>
      </c>
      <c r="K37" s="4" t="inlineStr">
        <is>
          <t>C - Presentation / structure / literature / documentation</t>
        </is>
      </c>
      <c r="L37" s="4" t="inlineStr">
        <is>
          <t>Literature review; methods justification; introduction contribution; bibliography; defense</t>
        </is>
      </c>
      <c r="M37" s="4" t="inlineStr">
        <is>
          <t>Add a compact closest-study comparison and recent method references directly supporting DK, local-currency debt and macrofinance identification.</t>
        </is>
      </c>
      <c r="N37" s="4" t="inlineStr">
        <is>
          <t>Targeted literature review</t>
        </is>
      </c>
      <c r="O37" s="4" t="inlineStr">
        <is>
          <t>MR-11, MR-31, MR-32; final method choice</t>
        </is>
      </c>
      <c r="P37" s="4" t="inlineStr">
        <is>
          <t>Closest studies are compared critically and new citations support actual model choices.</t>
        </is>
      </c>
      <c r="Q37" s="4" t="inlineStr">
        <is>
          <t>Yes</t>
        </is>
      </c>
      <c r="R37" s="9" t="inlineStr">
        <is>
          <t>Not started</t>
        </is>
      </c>
      <c r="S37" s="10" t="n"/>
    </row>
  </sheetData>
  <mergeCells count="2">
    <mergeCell ref="A2:S2"/>
    <mergeCell ref="A1:S1"/>
  </mergeCells>
  <dataValidations count="1">
    <dataValidation sqref="R4:R37" showDropDown="0" showInputMessage="0" showErrorMessage="0" allowBlank="0" error="Use one of the listed status values." promptTitle="Status" prompt="Choose a workflow status." type="list">
      <formula1>"Not started,In progress,Waiting,Done,Response only,Deferred"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tabColor rgb="FF1F4E78"/>
    <outlinePr summaryBelow="1" summaryRight="1"/>
    <pageSetUpPr/>
  </sheetPr>
  <dimension ref="A1:G57"/>
  <sheetViews>
    <sheetView showGridLines="0" workbookViewId="0">
      <selection activeCell="A1" sqref="A1"/>
    </sheetView>
  </sheetViews>
  <sheetFormatPr baseColWidth="8" defaultRowHeight="14.5"/>
  <cols>
    <col width="10" customWidth="1" style="40" min="1" max="1"/>
    <col width="13" customWidth="1" style="40" min="2" max="2"/>
    <col width="24" customWidth="1" style="40" min="3" max="3"/>
    <col width="58" customWidth="1" style="40" min="4" max="4"/>
    <col width="30" customWidth="1" style="40" min="5" max="5"/>
    <col width="22" customWidth="1" style="40" min="6" max="6"/>
    <col width="50" customWidth="1" style="40" min="7" max="7"/>
  </cols>
  <sheetData>
    <row r="1" ht="26" customHeight="1" s="40">
      <c r="A1" s="45" t="inlineStr">
        <is>
          <t>Juror-by-Juror Source Log</t>
        </is>
      </c>
    </row>
    <row r="2" ht="34" customHeight="1" s="40">
      <c r="A2" s="48" t="inlineStr">
        <is>
          <t>Traceability sheet: every distinct criticism from all three reports maps to one or more consolidated master issues. Daniel dispositions reflect Martin's review on 24-Sep-2026.</t>
        </is>
      </c>
    </row>
    <row r="3" ht="34" customHeight="1" s="40">
      <c r="A3" s="3" t="inlineStr">
        <is>
          <t>Source ID</t>
        </is>
      </c>
      <c r="B3" s="3" t="inlineStr">
        <is>
          <t>Juror</t>
        </is>
      </c>
      <c r="C3" s="3" t="inlineStr">
        <is>
          <t>Report location</t>
        </is>
      </c>
      <c r="D3" s="3" t="inlineStr">
        <is>
          <t>Original criticism - concise</t>
        </is>
      </c>
      <c r="E3" s="3" t="inlineStr">
        <is>
          <t>Master issue ID(s)</t>
        </is>
      </c>
      <c r="F3" s="3" t="inlineStr">
        <is>
          <t>Overlap group</t>
        </is>
      </c>
      <c r="G3" s="3" t="inlineStr">
        <is>
          <t>Martin position / disposition</t>
        </is>
      </c>
    </row>
    <row r="4" ht="50" customHeight="1" s="40">
      <c r="A4" s="4" t="inlineStr">
        <is>
          <t>A-01</t>
        </is>
      </c>
      <c r="B4" s="17" t="inlineStr">
        <is>
          <t>Ailin</t>
        </is>
      </c>
      <c r="C4" s="4" t="inlineStr">
        <is>
          <t>p. 1; pp. 7-8</t>
        </is>
      </c>
      <c r="D4" s="4" t="inlineStr">
        <is>
          <t>VIX operationalization differs from Gonzalez-Rozada and Levy-Yeyati (2008) and is not justified.</t>
        </is>
      </c>
      <c r="E4" s="4" t="inlineStr">
        <is>
          <t>MR-09, MR-10</t>
        </is>
      </c>
      <c r="F4" s="4" t="inlineStr">
        <is>
          <t>OG-04</t>
        </is>
      </c>
      <c r="G4" s="4" t="inlineStr">
        <is>
          <t>Partial agreement: justify VIX; no mandatory replacement.</t>
        </is>
      </c>
    </row>
    <row r="5" ht="50" customHeight="1" s="40">
      <c r="A5" s="4" t="inlineStr">
        <is>
          <t>A-02</t>
        </is>
      </c>
      <c r="B5" s="17" t="inlineStr">
        <is>
          <t>Ailin</t>
        </is>
      </c>
      <c r="C5" s="4" t="inlineStr">
        <is>
          <t>p. 1; p. 3; pp. 5-7</t>
        </is>
      </c>
      <c r="D5" s="4" t="inlineStr">
        <is>
          <t>Missing SDF/Euler, Fama (1984), Lustig et al. (2011) and related asset-pricing bridge.</t>
        </is>
      </c>
      <c r="E5" s="4" t="inlineStr">
        <is>
          <t>MR-04, MR-05, MR-11</t>
        </is>
      </c>
      <c r="F5" s="4" t="inlineStr">
        <is>
          <t>OG-02 / OG-05</t>
        </is>
      </c>
      <c r="G5" s="4" t="inlineStr">
        <is>
          <t>Partial agreement: concise bridge, no theoretical redesign.</t>
        </is>
      </c>
    </row>
    <row r="6" ht="50" customHeight="1" s="40">
      <c r="A6" s="4" t="inlineStr">
        <is>
          <t>A-03</t>
        </is>
      </c>
      <c r="B6" s="17" t="inlineStr">
        <is>
          <t>Ailin</t>
        </is>
      </c>
      <c r="C6" s="4" t="inlineStr">
        <is>
          <t>p. 2; p. 6; M1</t>
        </is>
      </c>
      <c r="D6" s="4" t="inlineStr">
        <is>
          <t>Sovereign indicator reuses the IPCA curve; long end may be near zero by construction and short end a market basis.</t>
        </is>
      </c>
      <c r="E6" s="4" t="inlineStr">
        <is>
          <t>MR-01, MR-02</t>
        </is>
      </c>
      <c r="F6" s="4" t="inlineStr">
        <is>
          <t>OG-01</t>
        </is>
      </c>
      <c r="G6" s="4" t="inlineStr">
        <is>
          <t>Now high priority: answer through sovereign-ceiling framing, matching and robustness.</t>
        </is>
      </c>
    </row>
    <row r="7" ht="50" customHeight="1" s="40">
      <c r="A7" s="4" t="inlineStr">
        <is>
          <t>A-04</t>
        </is>
      </c>
      <c r="B7" s="17" t="inlineStr">
        <is>
          <t>Ailin</t>
        </is>
      </c>
      <c r="C7" s="4" t="inlineStr">
        <is>
          <t>p. 2; pp. 5-7; M3</t>
        </is>
      </c>
      <c r="D7" s="4" t="inlineStr">
        <is>
          <t>Implicit beta=1 to the real-curve factor; domestic real rate omitted.</t>
        </is>
      </c>
      <c r="E7" s="4" t="inlineStr">
        <is>
          <t>MR-04, MR-05</t>
        </is>
      </c>
      <c r="F7" s="4" t="inlineStr">
        <is>
          <t>OG-02</t>
        </is>
      </c>
      <c r="G7" s="4" t="inlineStr">
        <is>
          <t>SELIC not added separately; bounded real-curve diagnostic only.</t>
        </is>
      </c>
    </row>
    <row r="8" ht="50" customHeight="1" s="40">
      <c r="A8" s="4" t="inlineStr">
        <is>
          <t>A-05</t>
        </is>
      </c>
      <c r="B8" s="17" t="inlineStr">
        <is>
          <t>Ailin</t>
        </is>
      </c>
      <c r="C8" s="4" t="inlineStr">
        <is>
          <t>p. 2; p. 7; M2</t>
        </is>
      </c>
      <c r="D8" s="4" t="inlineStr">
        <is>
          <t>Arithmetic spread calculation is inconsistent with compounding conventions.</t>
        </is>
      </c>
      <c r="E8" s="4" t="inlineStr">
        <is>
          <t>MR-03</t>
        </is>
      </c>
      <c r="F8" s="4" t="inlineStr">
        <is>
          <t>OG-02</t>
        </is>
      </c>
      <c r="G8" s="4" t="inlineStr">
        <is>
          <t>Agrees: recalculate geometrically/log-consistently.</t>
        </is>
      </c>
    </row>
    <row r="9" ht="50" customHeight="1" s="40">
      <c r="A9" s="4" t="inlineStr">
        <is>
          <t>A-06</t>
        </is>
      </c>
      <c r="B9" s="17" t="inlineStr">
        <is>
          <t>Ailin</t>
        </is>
      </c>
      <c r="C9" s="4" t="inlineStr">
        <is>
          <t>p. 2; pp. 7-8; M4</t>
        </is>
      </c>
      <c r="D9" s="4" t="inlineStr">
        <is>
          <t>VIX is not pure risk aversion; use a composite PCA index.</t>
        </is>
      </c>
      <c r="E9" s="4" t="inlineStr">
        <is>
          <t>MR-09, MR-10</t>
        </is>
      </c>
      <c r="F9" s="4" t="inlineStr">
        <is>
          <t>OG-04</t>
        </is>
      </c>
      <c r="G9" s="4" t="inlineStr">
        <is>
          <t>No mandatory PCA; justify VIX and acknowledge alternatives.</t>
        </is>
      </c>
    </row>
    <row r="10" ht="50" customHeight="1" s="40">
      <c r="A10" s="4" t="inlineStr">
        <is>
          <t>A-07</t>
        </is>
      </c>
      <c r="B10" s="17" t="inlineStr">
        <is>
          <t>Ailin</t>
        </is>
      </c>
      <c r="C10" s="4" t="inlineStr">
        <is>
          <t>p. 2; pp. 9-10; M5</t>
        </is>
      </c>
      <c r="D10" s="4" t="inlineStr">
        <is>
          <t>Rating heterogeneity must be modeled, not used ex post.</t>
        </is>
      </c>
      <c r="E10" s="4" t="inlineStr">
        <is>
          <t>MR-06, MR-07</t>
        </is>
      </c>
      <c r="F10" s="4" t="inlineStr">
        <is>
          <t>OG-03</t>
        </is>
      </c>
      <c r="G10" s="4" t="inlineStr">
        <is>
          <t>Agrees on bounded rating/sector tests.</t>
        </is>
      </c>
    </row>
    <row r="11" ht="50" customHeight="1" s="40">
      <c r="A11" s="4" t="inlineStr">
        <is>
          <t>A-08</t>
        </is>
      </c>
      <c r="B11" s="17" t="inlineStr">
        <is>
          <t>Ailin</t>
        </is>
      </c>
      <c r="C11" s="4" t="inlineStr">
        <is>
          <t>p. 2</t>
        </is>
      </c>
      <c r="D11" s="4" t="inlineStr">
        <is>
          <t>Bloomberg is an access channel, not always the primary source.</t>
        </is>
      </c>
      <c r="E11" s="4" t="inlineStr">
        <is>
          <t>MR-28</t>
        </is>
      </c>
      <c r="F11" s="4" t="inlineStr">
        <is>
          <t>OG-12</t>
        </is>
      </c>
      <c r="G11" s="4" t="inlineStr">
        <is>
          <t>Handle within data provenance.</t>
        </is>
      </c>
    </row>
    <row r="12" ht="50" customHeight="1" s="40">
      <c r="A12" s="4" t="inlineStr">
        <is>
          <t>A-09</t>
        </is>
      </c>
      <c r="B12" s="17" t="inlineStr">
        <is>
          <t>Ailin</t>
        </is>
      </c>
      <c r="C12" s="4" t="inlineStr">
        <is>
          <t>p. 2; p. 10; M7</t>
        </is>
      </c>
      <c r="D12" s="4" t="inlineStr">
        <is>
          <t>No complete replication package.</t>
        </is>
      </c>
      <c r="E12" s="4" t="inlineStr">
        <is>
          <t>MR-27</t>
        </is>
      </c>
      <c r="F12" s="4" t="inlineStr">
        <is>
          <t>OG-12</t>
        </is>
      </c>
      <c r="G12" s="4" t="inlineStr">
        <is>
          <t>Agrees: deliver complete package.</t>
        </is>
      </c>
    </row>
    <row r="13" ht="50" customHeight="1" s="40">
      <c r="A13" s="4" t="inlineStr">
        <is>
          <t>A-10</t>
        </is>
      </c>
      <c r="B13" s="17" t="inlineStr">
        <is>
          <t>Ailin</t>
        </is>
      </c>
      <c r="C13" s="4" t="inlineStr">
        <is>
          <t>p. 3</t>
        </is>
      </c>
      <c r="D13" s="4" t="inlineStr">
        <is>
          <t>Central signs have plausible mechanical explanations that are not ruled out.</t>
        </is>
      </c>
      <c r="E13" s="4" t="inlineStr">
        <is>
          <t>MR-01, MR-25, MR-30</t>
        </is>
      </c>
      <c r="F13" s="4" t="inlineStr">
        <is>
          <t>OG-01 / OG-11</t>
        </is>
      </c>
      <c r="G13" s="4" t="inlineStr">
        <is>
          <t>Rewrite after spread/DK work; test or qualify mechanisms.</t>
        </is>
      </c>
    </row>
    <row r="14" ht="50" customHeight="1" s="40">
      <c r="A14" s="4" t="inlineStr">
        <is>
          <t>A-11</t>
        </is>
      </c>
      <c r="B14" s="17" t="inlineStr">
        <is>
          <t>Ailin</t>
        </is>
      </c>
      <c r="C14" s="4" t="inlineStr">
        <is>
          <t>p. 3; p. 4; M8</t>
        </is>
      </c>
      <c r="D14" s="4" t="inlineStr">
        <is>
          <t>Interpretation omits Selic, real curve, investors and Law 12.431.</t>
        </is>
      </c>
      <c r="E14" s="4" t="inlineStr">
        <is>
          <t>MR-26, MR-30</t>
        </is>
      </c>
      <c r="F14" s="4" t="inlineStr">
        <is>
          <t>OG-11</t>
        </is>
      </c>
      <c r="G14" s="4" t="inlineStr">
        <is>
          <t>Deepen Brazil-specific interpretation; no mechanical SELIC inclusion.</t>
        </is>
      </c>
    </row>
    <row r="15" ht="50" customHeight="1" s="40">
      <c r="A15" s="4" t="inlineStr">
        <is>
          <t>A-12</t>
        </is>
      </c>
      <c r="B15" s="17" t="inlineStr">
        <is>
          <t>Ailin</t>
        </is>
      </c>
      <c r="C15" s="4" t="inlineStr">
        <is>
          <t>p. 3; p. 6</t>
        </is>
      </c>
      <c r="D15" s="4" t="inlineStr">
        <is>
          <t>Stale OTC pricing may mechanically generate negative signs.</t>
        </is>
      </c>
      <c r="E15" s="4" t="inlineStr">
        <is>
          <t>MR-25</t>
        </is>
      </c>
      <c r="F15" s="4" t="inlineStr">
        <is>
          <t>OG-11</t>
        </is>
      </c>
      <c r="G15" s="4" t="inlineStr">
        <is>
          <t>Add literature and one bounded diagnostic if feasible.</t>
        </is>
      </c>
    </row>
    <row r="16" ht="50" customHeight="1" s="40">
      <c r="A16" s="4" t="inlineStr">
        <is>
          <t>A-13</t>
        </is>
      </c>
      <c r="B16" s="17" t="inlineStr">
        <is>
          <t>Ailin</t>
        </is>
      </c>
      <c r="C16" s="4" t="inlineStr">
        <is>
          <t>M1</t>
        </is>
      </c>
      <c r="D16" s="4" t="inlineStr">
        <is>
          <t>Use an independent swap/asset-swap sovereign benchmark and USD CDS robustness.</t>
        </is>
      </c>
      <c r="E16" s="4" t="inlineStr">
        <is>
          <t>MR-01</t>
        </is>
      </c>
      <c r="F16" s="4" t="inlineStr">
        <is>
          <t>OG-01</t>
        </is>
      </c>
      <c r="G16" s="4" t="inlineStr">
        <is>
          <t>Local-currency benchmark remains primary; independent robustness preferred.</t>
        </is>
      </c>
    </row>
    <row r="17" ht="50" customHeight="1" s="40">
      <c r="A17" s="4" t="inlineStr">
        <is>
          <t>A-14</t>
        </is>
      </c>
      <c r="B17" s="17" t="inlineStr">
        <is>
          <t>Ailin</t>
        </is>
      </c>
      <c r="C17" s="4" t="inlineStr">
        <is>
          <t>M3</t>
        </is>
      </c>
      <c r="D17" s="4" t="inlineStr">
        <is>
          <t>Ideally use a two-step Fama-MacBeth model.</t>
        </is>
      </c>
      <c r="E17" s="4" t="inlineStr">
        <is>
          <t>MR-05</t>
        </is>
      </c>
      <c r="F17" s="4" t="inlineStr">
        <is>
          <t>OG-02</t>
        </is>
      </c>
      <c r="G17" s="4" t="inlineStr">
        <is>
          <t>Not endorsed as required.</t>
        </is>
      </c>
    </row>
    <row r="18" ht="50" customHeight="1" s="40">
      <c r="A18" s="4" t="inlineStr">
        <is>
          <t>A-15</t>
        </is>
      </c>
      <c r="B18" s="17" t="inlineStr">
        <is>
          <t>Ailin</t>
        </is>
      </c>
      <c r="C18" s="4" t="inlineStr">
        <is>
          <t>pp. 8-10; M6</t>
        </is>
      </c>
      <c r="D18" s="4" t="inlineStr">
        <is>
          <t>Build sovereign/corporate breakevens using CDI-linked synthetic fixed rates.</t>
        </is>
      </c>
      <c r="E18" s="4" t="inlineStr">
        <is>
          <t>MR-29</t>
        </is>
      </c>
      <c r="F18" s="4" t="inlineStr">
        <is>
          <t>OG-13</t>
        </is>
      </c>
      <c r="G18" s="4" t="inlineStr">
        <is>
          <t>Future research only.</t>
        </is>
      </c>
    </row>
    <row r="19" ht="50" customHeight="1" s="40">
      <c r="A19" s="4" t="inlineStr">
        <is>
          <t>A-16</t>
        </is>
      </c>
      <c r="B19" s="17" t="inlineStr">
        <is>
          <t>Ailin</t>
        </is>
      </c>
      <c r="C19" s="4" t="inlineStr">
        <is>
          <t>M8</t>
        </is>
      </c>
      <c r="D19" s="4" t="inlineStr">
        <is>
          <t>Rewrite results after core corrections and discard mechanical explanations first.</t>
        </is>
      </c>
      <c r="E19" s="4" t="inlineStr">
        <is>
          <t>MR-19, MR-30</t>
        </is>
      </c>
      <c r="F19" s="4" t="inlineStr">
        <is>
          <t>OG-08 / OG-11</t>
        </is>
      </c>
      <c r="G19" s="4" t="inlineStr">
        <is>
          <t>Agrees with a bounded sequence.</t>
        </is>
      </c>
    </row>
    <row r="20" ht="50" customHeight="1" s="40">
      <c r="A20" s="4" t="inlineStr">
        <is>
          <t>A-17</t>
        </is>
      </c>
      <c r="B20" s="17" t="inlineStr">
        <is>
          <t>Ailin</t>
        </is>
      </c>
      <c r="C20" s="4" t="inlineStr">
        <is>
          <t>p. 4</t>
        </is>
      </c>
      <c r="D20" s="4" t="inlineStr">
        <is>
          <t>Prepare defense answers on swaps, signs, real rates, investors and VIX.</t>
        </is>
      </c>
      <c r="E20" s="4" t="inlineStr">
        <is>
          <t>MR-30</t>
        </is>
      </c>
      <c r="F20" s="4" t="inlineStr">
        <is>
          <t>OG-11</t>
        </is>
      </c>
      <c r="G20" s="4" t="inlineStr">
        <is>
          <t>Address in response memo/defense.</t>
        </is>
      </c>
    </row>
    <row r="21" ht="50" customHeight="1" s="40">
      <c r="A21" s="4" t="inlineStr">
        <is>
          <t>A-18</t>
        </is>
      </c>
      <c r="B21" s="17" t="inlineStr">
        <is>
          <t>Ailin</t>
        </is>
      </c>
      <c r="C21" s="4" t="inlineStr">
        <is>
          <t>p. 3</t>
        </is>
      </c>
      <c r="D21" s="4" t="inlineStr">
        <is>
          <t>Report over-centers sovereign and VIX results.</t>
        </is>
      </c>
      <c r="E21" s="4" t="inlineStr">
        <is>
          <t>MR-30</t>
        </is>
      </c>
      <c r="F21" s="4" t="inlineStr">
        <is>
          <t>OG-11</t>
        </is>
      </c>
      <c r="G21" s="4" t="inlineStr">
        <is>
          <t>Seminars should emphasize external versus internal evidence broadly.</t>
        </is>
      </c>
    </row>
    <row r="22" ht="50" customHeight="1" s="40">
      <c r="A22" s="4" t="inlineStr">
        <is>
          <t>M-01</t>
        </is>
      </c>
      <c r="B22" s="18" t="inlineStr">
        <is>
          <t>Maximo</t>
        </is>
      </c>
      <c r="C22" s="4" t="inlineStr">
        <is>
          <t>p. 1</t>
        </is>
      </c>
      <c r="D22" s="4" t="inlineStr">
        <is>
          <t>Theory recognizes heterogeneous sovereign transmission but the model estimates one average coefficient.</t>
        </is>
      </c>
      <c r="E22" s="4" t="inlineStr">
        <is>
          <t>MR-06, MR-07</t>
        </is>
      </c>
      <c r="F22" s="4" t="inlineStr">
        <is>
          <t>OG-03</t>
        </is>
      </c>
      <c r="G22" s="4" t="inlineStr">
        <is>
          <t>Agrees: grouped tests, with issuer/bond slopes only where powered.</t>
        </is>
      </c>
    </row>
    <row r="23" ht="50" customHeight="1" s="40">
      <c r="A23" s="4" t="inlineStr">
        <is>
          <t>M-02</t>
        </is>
      </c>
      <c r="B23" s="18" t="inlineStr">
        <is>
          <t>Maximo</t>
        </is>
      </c>
      <c r="C23" s="4" t="inlineStr">
        <is>
          <t>p. 1</t>
        </is>
      </c>
      <c r="D23" s="4" t="inlineStr">
        <is>
          <t>Causal language conflicts with the correlational design.</t>
        </is>
      </c>
      <c r="E23" s="4" t="inlineStr">
        <is>
          <t>MR-12</t>
        </is>
      </c>
      <c r="F23" s="4" t="inlineStr">
        <is>
          <t>OG-06</t>
        </is>
      </c>
      <c r="G23" s="4" t="inlineStr">
        <is>
          <t>No direct position; correct wording.</t>
        </is>
      </c>
    </row>
    <row r="24" ht="50" customHeight="1" s="40">
      <c r="A24" s="4" t="inlineStr">
        <is>
          <t>M-03</t>
        </is>
      </c>
      <c r="B24" s="18" t="inlineStr">
        <is>
          <t>Maximo</t>
        </is>
      </c>
      <c r="C24" s="4" t="inlineStr">
        <is>
          <t>p. 1</t>
        </is>
      </c>
      <c r="D24" s="4" t="inlineStr">
        <is>
          <t>VIX differs from the cited proxy and the change is unexplained.</t>
        </is>
      </c>
      <c r="E24" s="4" t="inlineStr">
        <is>
          <t>MR-09</t>
        </is>
      </c>
      <c r="F24" s="4" t="inlineStr">
        <is>
          <t>OG-04</t>
        </is>
      </c>
      <c r="G24" s="4" t="inlineStr">
        <is>
          <t>Explain proxy choice.</t>
        </is>
      </c>
    </row>
    <row r="25" ht="50" customHeight="1" s="40">
      <c r="A25" s="4" t="inlineStr">
        <is>
          <t>M-04</t>
        </is>
      </c>
      <c r="B25" s="18" t="inlineStr">
        <is>
          <t>Maximo</t>
        </is>
      </c>
      <c r="C25" s="4" t="inlineStr">
        <is>
          <t>p. 2</t>
        </is>
      </c>
      <c r="D25" s="4" t="inlineStr">
        <is>
          <t>Sovereign regressor is algebraically one component of the corporate spread.</t>
        </is>
      </c>
      <c r="E25" s="4" t="inlineStr">
        <is>
          <t>MR-01, MR-02</t>
        </is>
      </c>
      <c r="F25" s="4" t="inlineStr">
        <is>
          <t>OG-01</t>
        </is>
      </c>
      <c r="G25" s="4" t="inlineStr">
        <is>
          <t>Top priority: sovereign-ceiling interpretation, matching, literature and alternative YTM form.</t>
        </is>
      </c>
    </row>
    <row r="26" ht="50" customHeight="1" s="40">
      <c r="A26" s="4" t="inlineStr">
        <is>
          <t>M-05</t>
        </is>
      </c>
      <c r="B26" s="18" t="inlineStr">
        <is>
          <t>Maximo</t>
        </is>
      </c>
      <c r="C26" s="4" t="inlineStr">
        <is>
          <t>p. 2</t>
        </is>
      </c>
      <c r="D26" s="4" t="inlineStr">
        <is>
          <t>Macro evidence rests on about 186 monthly observations, not 4,229 independent macro observations.</t>
        </is>
      </c>
      <c r="E26" s="4" t="inlineStr">
        <is>
          <t>MR-13</t>
        </is>
      </c>
      <c r="F26" s="4" t="inlineStr">
        <is>
          <t>OG-07</t>
        </is>
      </c>
      <c r="G26" s="4" t="inlineStr">
        <is>
          <t>Agrees to clarify.</t>
        </is>
      </c>
    </row>
    <row r="27" ht="50" customHeight="1" s="40">
      <c r="A27" s="4" t="inlineStr">
        <is>
          <t>M-06</t>
        </is>
      </c>
      <c r="B27" s="18" t="inlineStr">
        <is>
          <t>Maximo</t>
        </is>
      </c>
      <c r="C27" s="4" t="inlineStr">
        <is>
          <t>p. 2</t>
        </is>
      </c>
      <c r="D27" s="4" t="inlineStr">
        <is>
          <t>No bond-month regressor explains cross-bond differences; issue size may be absorbed by FE.</t>
        </is>
      </c>
      <c r="E27" s="4" t="inlineStr">
        <is>
          <t>MR-14, MR-15</t>
        </is>
      </c>
      <c r="F27" s="4" t="inlineStr">
        <is>
          <t>OG-07</t>
        </is>
      </c>
      <c r="G27" s="4" t="inlineStr">
        <is>
          <t>Audit size and clarify FE scope.</t>
        </is>
      </c>
    </row>
    <row r="28" ht="50" customHeight="1" s="40">
      <c r="A28" s="4" t="inlineStr">
        <is>
          <t>M-07</t>
        </is>
      </c>
      <c r="B28" s="18" t="inlineStr">
        <is>
          <t>Maximo</t>
        </is>
      </c>
      <c r="C28" s="4" t="inlineStr">
        <is>
          <t>p. 3</t>
        </is>
      </c>
      <c r="D28" s="4" t="inlineStr">
        <is>
          <t>Issuer-clustered errors ignore common shocks.</t>
        </is>
      </c>
      <c r="E28" s="4" t="inlineStr">
        <is>
          <t>MR-16</t>
        </is>
      </c>
      <c r="F28" s="4" t="inlineStr">
        <is>
          <t>OG-08</t>
        </is>
      </c>
      <c r="G28" s="4" t="inlineStr">
        <is>
          <t>Agrees; DK preferred.</t>
        </is>
      </c>
    </row>
    <row r="29" ht="50" customHeight="1" s="40">
      <c r="A29" s="4" t="inlineStr">
        <is>
          <t>M-08</t>
        </is>
      </c>
      <c r="B29" s="18" t="inlineStr">
        <is>
          <t>Maximo</t>
        </is>
      </c>
      <c r="C29" s="4" t="inlineStr">
        <is>
          <t>p. 3</t>
        </is>
      </c>
      <c r="D29" s="4" t="inlineStr">
        <is>
          <t>Driscoll-Kraay is the appropriate reference inference.</t>
        </is>
      </c>
      <c r="E29" s="4" t="inlineStr">
        <is>
          <t>MR-16</t>
        </is>
      </c>
      <c r="F29" s="4" t="inlineStr">
        <is>
          <t>OG-08</t>
        </is>
      </c>
      <c r="G29" s="4" t="inlineStr">
        <is>
          <t>Strongly agrees; DK only in main results.</t>
        </is>
      </c>
    </row>
    <row r="30" ht="50" customHeight="1" s="40">
      <c r="A30" s="4" t="inlineStr">
        <is>
          <t>M-09</t>
        </is>
      </c>
      <c r="B30" s="18" t="inlineStr">
        <is>
          <t>Maximo</t>
        </is>
      </c>
      <c r="C30" s="4" t="inlineStr">
        <is>
          <t>p. 3</t>
        </is>
      </c>
      <c r="D30" s="4" t="inlineStr">
        <is>
          <t>PCSE coefficients differ from FE, indicating a different model or syntax issue.</t>
        </is>
      </c>
      <c r="E30" s="4" t="inlineStr">
        <is>
          <t>MR-17</t>
        </is>
      </c>
      <c r="F30" s="4" t="inlineStr">
        <is>
          <t>OG-08</t>
        </is>
      </c>
      <c r="G30" s="4" t="inlineStr">
        <is>
          <t>Audit, explain and remove PCSE from main presentation.</t>
        </is>
      </c>
    </row>
    <row r="31" ht="50" customHeight="1" s="40">
      <c r="A31" s="4" t="inlineStr">
        <is>
          <t>M-10</t>
        </is>
      </c>
      <c r="B31" s="18" t="inlineStr">
        <is>
          <t>Maximo</t>
        </is>
      </c>
      <c r="C31" s="4" t="inlineStr">
        <is>
          <t>p. 3</t>
        </is>
      </c>
      <c r="D31" s="4" t="inlineStr">
        <is>
          <t>Under DK, several earlier significance claims weaken.</t>
        </is>
      </c>
      <c r="E31" s="4" t="inlineStr">
        <is>
          <t>MR-19</t>
        </is>
      </c>
      <c r="F31" s="4" t="inlineStr">
        <is>
          <t>OG-08</t>
        </is>
      </c>
      <c r="G31" s="4" t="inlineStr">
        <is>
          <t>Use DK only and rewrite results.</t>
        </is>
      </c>
    </row>
    <row r="32" ht="50" customHeight="1" s="40">
      <c r="A32" s="4" t="inlineStr">
        <is>
          <t>M-11</t>
        </is>
      </c>
      <c r="B32" s="18" t="inlineStr">
        <is>
          <t>Maximo</t>
        </is>
      </c>
      <c r="C32" s="4" t="inlineStr">
        <is>
          <t>p. 3</t>
        </is>
      </c>
      <c r="D32" s="4" t="inlineStr">
        <is>
          <t>Persistence and serial correlation motivate differences/unit-root questions.</t>
        </is>
      </c>
      <c r="E32" s="4" t="inlineStr">
        <is>
          <t>MR-20</t>
        </is>
      </c>
      <c r="F32" s="4" t="inlineStr">
        <is>
          <t>OG-09</t>
        </is>
      </c>
      <c r="G32" s="4" t="inlineStr">
        <is>
          <t>Dynamic redesign not endorsed; acknowledge limits.</t>
        </is>
      </c>
    </row>
    <row r="33" ht="50" customHeight="1" s="40">
      <c r="A33" s="4" t="inlineStr">
        <is>
          <t>M-12</t>
        </is>
      </c>
      <c r="B33" s="18" t="inlineStr">
        <is>
          <t>Maximo</t>
        </is>
      </c>
      <c r="C33" s="4" t="inlineStr">
        <is>
          <t>p. 3</t>
        </is>
      </c>
      <c r="D33" s="4" t="inlineStr">
        <is>
          <t>Collin-Dufresne et al. (2001) is misused as support for levels.</t>
        </is>
      </c>
      <c r="E33" s="4" t="inlineStr">
        <is>
          <t>MR-21</t>
        </is>
      </c>
      <c r="F33" s="4" t="inlineStr">
        <is>
          <t>OG-09</t>
        </is>
      </c>
      <c r="G33" s="4" t="inlineStr">
        <is>
          <t>Correct the citation.</t>
        </is>
      </c>
    </row>
    <row r="34" ht="50" customHeight="1" s="40">
      <c r="A34" s="4" t="inlineStr">
        <is>
          <t>M-13</t>
        </is>
      </c>
      <c r="B34" s="18" t="inlineStr">
        <is>
          <t>Maximo</t>
        </is>
      </c>
      <c r="C34" s="4" t="inlineStr">
        <is>
          <t>pp. 3-4</t>
        </is>
      </c>
      <c r="D34" s="4" t="inlineStr">
        <is>
          <t>Debt/GDP significance differs between text and table.</t>
        </is>
      </c>
      <c r="E34" s="4" t="inlineStr">
        <is>
          <t>MR-22</t>
        </is>
      </c>
      <c r="F34" s="4" t="inlineStr">
        <is>
          <t>OG-10</t>
        </is>
      </c>
      <c r="G34" s="4" t="inlineStr">
        <is>
          <t>Correct in final table-to-text audit.</t>
        </is>
      </c>
    </row>
    <row r="35" ht="50" customHeight="1" s="40">
      <c r="A35" s="4" t="inlineStr">
        <is>
          <t>M-14</t>
        </is>
      </c>
      <c r="B35" s="18" t="inlineStr">
        <is>
          <t>Maximo</t>
        </is>
      </c>
      <c r="C35" s="4" t="inlineStr">
        <is>
          <t>p. 4</t>
        </is>
      </c>
      <c r="D35" s="4" t="inlineStr">
        <is>
          <t>PCSE does not automatically correct serial correlation.</t>
        </is>
      </c>
      <c r="E35" s="4" t="inlineStr">
        <is>
          <t>MR-23</t>
        </is>
      </c>
      <c r="F35" s="4" t="inlineStr">
        <is>
          <t>OG-10</t>
        </is>
      </c>
      <c r="G35" s="4" t="inlineStr">
        <is>
          <t>Delete the claim; PCSE removed from main thesis.</t>
        </is>
      </c>
    </row>
    <row r="36" ht="50" customHeight="1" s="40">
      <c r="A36" s="4" t="inlineStr">
        <is>
          <t>M-15</t>
        </is>
      </c>
      <c r="B36" s="18" t="inlineStr">
        <is>
          <t>Maximo</t>
        </is>
      </c>
      <c r="C36" s="4" t="inlineStr">
        <is>
          <t>p. 4</t>
        </is>
      </c>
      <c r="D36" s="4" t="inlineStr">
        <is>
          <t>Regression table should report standard errors and N.</t>
        </is>
      </c>
      <c r="E36" s="4" t="inlineStr">
        <is>
          <t>MR-24</t>
        </is>
      </c>
      <c r="F36" s="4" t="inlineStr">
        <is>
          <t>OG-10</t>
        </is>
      </c>
      <c r="G36" s="4" t="inlineStr">
        <is>
          <t>Agrees.</t>
        </is>
      </c>
    </row>
    <row r="37" ht="50" customHeight="1" s="40">
      <c r="A37" s="4" t="inlineStr">
        <is>
          <t>M-16</t>
        </is>
      </c>
      <c r="B37" s="18" t="inlineStr">
        <is>
          <t>Maximo</t>
        </is>
      </c>
      <c r="C37" s="4" t="inlineStr">
        <is>
          <t>p. 4</t>
        </is>
      </c>
      <c r="D37" s="4" t="inlineStr">
        <is>
          <t>Explanations for the sovereign sign should be tested with ratings/events/sequential models.</t>
        </is>
      </c>
      <c r="E37" s="4" t="inlineStr">
        <is>
          <t>MR-06, MR-07, MR-08, MR-18</t>
        </is>
      </c>
      <c r="F37" s="4" t="inlineStr">
        <is>
          <t>Multiple</t>
        </is>
      </c>
      <c r="G37" s="4" t="inlineStr">
        <is>
          <t>Core grouped and sequential tests endorsed; events optional.</t>
        </is>
      </c>
    </row>
    <row r="38" ht="50" customHeight="1" s="40">
      <c r="A38" s="4" t="inlineStr">
        <is>
          <t>M-17</t>
        </is>
      </c>
      <c r="B38" s="18" t="inlineStr">
        <is>
          <t>Maximo</t>
        </is>
      </c>
      <c r="C38" s="4" t="inlineStr">
        <is>
          <t>p. 4</t>
        </is>
      </c>
      <c r="D38" s="4" t="inlineStr">
        <is>
          <t>Five central exercises: sovereign reformulation, DK, sequential specs, size clarification and tested interpretations.</t>
        </is>
      </c>
      <c r="E38" s="4" t="inlineStr">
        <is>
          <t>MR-01, MR-14, MR-16, MR-18, MR-06/07</t>
        </is>
      </c>
      <c r="F38" s="4" t="inlineStr">
        <is>
          <t>Multiple</t>
        </is>
      </c>
      <c r="G38" s="4" t="inlineStr">
        <is>
          <t>Highest-priority substantive roadmap.</t>
        </is>
      </c>
    </row>
    <row r="39" ht="50" customHeight="1" s="40">
      <c r="A39" s="4" t="inlineStr">
        <is>
          <t>M-18</t>
        </is>
      </c>
      <c r="B39" s="18" t="inlineStr">
        <is>
          <t>Maximo</t>
        </is>
      </c>
      <c r="C39" s="4" t="inlineStr">
        <is>
          <t>p. 5</t>
        </is>
      </c>
      <c r="D39" s="4" t="inlineStr">
        <is>
          <t>Defense questions on sovereign algebra, DK, PCSE, VIX and testable explanations.</t>
        </is>
      </c>
      <c r="E39" s="4" t="inlineStr">
        <is>
          <t>MR-01, MR-09, MR-16, MR-17, MR-30</t>
        </is>
      </c>
      <c r="F39" s="4" t="inlineStr">
        <is>
          <t>Multiple</t>
        </is>
      </c>
      <c r="G39" s="4" t="inlineStr">
        <is>
          <t>Prepare direct responses and seminar-ready evidence.</t>
        </is>
      </c>
    </row>
    <row r="40" ht="50" customHeight="1" s="40">
      <c r="A40" s="4" t="inlineStr">
        <is>
          <t>D-01</t>
        </is>
      </c>
      <c r="B40" s="19" t="inlineStr">
        <is>
          <t>Daniel</t>
        </is>
      </c>
      <c r="C40" s="4" t="inlineStr">
        <is>
          <t>p. 1</t>
        </is>
      </c>
      <c r="D40" s="4" t="inlineStr">
        <is>
          <t>Research gap/originality is asserted more than demonstrated.</t>
        </is>
      </c>
      <c r="E40" s="4" t="inlineStr">
        <is>
          <t>MR-31, MR-30</t>
        </is>
      </c>
      <c r="F40" s="4" t="inlineStr">
        <is>
          <t>OG-14</t>
        </is>
      </c>
      <c r="G40" s="4" t="inlineStr">
        <is>
          <t>Selective exposition improvement; secondary to Maximo-driven work.</t>
        </is>
      </c>
    </row>
    <row r="41" ht="50" customHeight="1" s="40">
      <c r="A41" s="4" t="inlineStr">
        <is>
          <t>D-02</t>
        </is>
      </c>
      <c r="B41" s="19" t="inlineStr">
        <is>
          <t>Daniel</t>
        </is>
      </c>
      <c r="C41" s="4" t="inlineStr">
        <is>
          <t>p. 1</t>
        </is>
      </c>
      <c r="D41" s="4" t="inlineStr">
        <is>
          <t>Three broad questions obscure the central contribution.</t>
        </is>
      </c>
      <c r="E41" s="4" t="inlineStr">
        <is>
          <t>MR-31</t>
        </is>
      </c>
      <c r="F41" s="4" t="inlineStr">
        <is>
          <t>OG-14</t>
        </is>
      </c>
      <c r="G41" s="4" t="inlineStr">
        <is>
          <t>Define one primary question after empirical freeze.</t>
        </is>
      </c>
    </row>
    <row r="42" ht="50" customHeight="1" s="40">
      <c r="A42" s="4" t="inlineStr">
        <is>
          <t>D-03</t>
        </is>
      </c>
      <c r="B42" s="19" t="inlineStr">
        <is>
          <t>Daniel</t>
        </is>
      </c>
      <c r="C42" s="4" t="inlineStr">
        <is>
          <t>p. 1</t>
        </is>
      </c>
      <c r="D42" s="4" t="inlineStr">
        <is>
          <t>Theoretical framework is pertinent but too descriptive.</t>
        </is>
      </c>
      <c r="E42" s="4" t="inlineStr">
        <is>
          <t>MR-11, MR-32</t>
        </is>
      </c>
      <c r="F42" s="4" t="inlineStr">
        <is>
          <t>OG-05 / OG-14</t>
        </is>
      </c>
      <c r="G42" s="4" t="inlineStr">
        <is>
          <t>Strengthen bridge without theoretical redesign.</t>
        </is>
      </c>
    </row>
    <row r="43" ht="50" customHeight="1" s="40">
      <c r="A43" s="4" t="inlineStr">
        <is>
          <t>D-04</t>
        </is>
      </c>
      <c r="B43" s="19" t="inlineStr">
        <is>
          <t>Daniel</t>
        </is>
      </c>
      <c r="C43" s="4" t="inlineStr">
        <is>
          <t>p. 1</t>
        </is>
      </c>
      <c r="D43" s="4" t="inlineStr">
        <is>
          <t>Nine hypotheses exceed one panel model; some proxies are contestable.</t>
        </is>
      </c>
      <c r="E43" s="4" t="inlineStr">
        <is>
          <t>MR-32, MR-30</t>
        </is>
      </c>
      <c r="F43" s="4" t="inlineStr">
        <is>
          <t>OG-14</t>
        </is>
      </c>
      <c r="G43" s="4" t="inlineStr">
        <is>
          <t>Link hypotheses to final results; classify core/secondary evidence.</t>
        </is>
      </c>
    </row>
    <row r="44" ht="50" customHeight="1" s="40">
      <c r="A44" s="4" t="inlineStr">
        <is>
          <t>D-05</t>
        </is>
      </c>
      <c r="B44" s="19" t="inlineStr">
        <is>
          <t>Daniel</t>
        </is>
      </c>
      <c r="C44" s="4" t="inlineStr">
        <is>
          <t>p. 2</t>
        </is>
      </c>
      <c r="D44" s="4" t="inlineStr">
        <is>
          <t>The panel is strongly unbalanced with unequal coverage.</t>
        </is>
      </c>
      <c r="E44" s="4" t="inlineStr">
        <is>
          <t>MR-13, MR-15</t>
        </is>
      </c>
      <c r="F44" s="4" t="inlineStr">
        <is>
          <t>OG-07</t>
        </is>
      </c>
      <c r="G44" s="4" t="inlineStr">
        <is>
          <t>Clarify panel profile and qualify precision.</t>
        </is>
      </c>
    </row>
    <row r="45" ht="50" customHeight="1" s="40">
      <c r="A45" s="4" t="inlineStr">
        <is>
          <t>D-06</t>
        </is>
      </c>
      <c r="B45" s="19" t="inlineStr">
        <is>
          <t>Daniel</t>
        </is>
      </c>
      <c r="C45" s="4" t="inlineStr">
        <is>
          <t>p. 2</t>
        </is>
      </c>
      <c r="D45" s="4" t="inlineStr">
        <is>
          <t>Heteroskedasticity, dependence and serial correlation make inference demanding; estimators differ.</t>
        </is>
      </c>
      <c r="E45" s="4" t="inlineStr">
        <is>
          <t>MR-16, MR-17, MR-18, MR-19</t>
        </is>
      </c>
      <c r="F45" s="4" t="inlineStr">
        <is>
          <t>OG-08</t>
        </is>
      </c>
      <c r="G45" s="4" t="inlineStr">
        <is>
          <t>Already addressed in substance; make diagnostics visible and use DK only.</t>
        </is>
      </c>
    </row>
    <row r="46" ht="50" customHeight="1" s="40">
      <c r="A46" s="4" t="inlineStr">
        <is>
          <t>D-07</t>
        </is>
      </c>
      <c r="B46" s="19" t="inlineStr">
        <is>
          <t>Daniel</t>
        </is>
      </c>
      <c r="C46" s="4" t="inlineStr">
        <is>
          <t>p. 2</t>
        </is>
      </c>
      <c r="D46" s="4" t="inlineStr">
        <is>
          <t>Results support associations, not strong causal claims.</t>
        </is>
      </c>
      <c r="E46" s="4" t="inlineStr">
        <is>
          <t>MR-12</t>
        </is>
      </c>
      <c r="F46" s="4" t="inlineStr">
        <is>
          <t>OG-06</t>
        </is>
      </c>
      <c r="G46" s="4" t="inlineStr">
        <is>
          <t>Valid wording correction.</t>
        </is>
      </c>
    </row>
    <row r="47" ht="50" customHeight="1" s="40">
      <c r="A47" s="4" t="inlineStr">
        <is>
          <t>D-08</t>
        </is>
      </c>
      <c r="B47" s="19" t="inlineStr">
        <is>
          <t>Daniel</t>
        </is>
      </c>
      <c r="C47" s="4" t="inlineStr">
        <is>
          <t>p. 2</t>
        </is>
      </c>
      <c r="D47" s="4" t="inlineStr">
        <is>
          <t>Unit-root tests could not be applied to the full panel.</t>
        </is>
      </c>
      <c r="E47" s="4" t="inlineStr">
        <is>
          <t>MR-20</t>
        </is>
      </c>
      <c r="F47" s="4" t="inlineStr">
        <is>
          <t>OG-09</t>
        </is>
      </c>
      <c r="G47" s="4" t="inlineStr">
        <is>
          <t>Acknowledge limitation; no dynamic-panel redesign.</t>
        </is>
      </c>
    </row>
    <row r="48" ht="50" customHeight="1" s="40">
      <c r="A48" s="4" t="inlineStr">
        <is>
          <t>D-09</t>
        </is>
      </c>
      <c r="B48" s="19" t="inlineStr">
        <is>
          <t>Daniel</t>
        </is>
      </c>
      <c r="C48" s="4" t="inlineStr">
        <is>
          <t>p. 2</t>
        </is>
      </c>
      <c r="D48" s="4" t="inlineStr">
        <is>
          <t>Conclusions should be moderated because robustness varies.</t>
        </is>
      </c>
      <c r="E48" s="4" t="inlineStr">
        <is>
          <t>MR-09, MR-19, MR-30</t>
        </is>
      </c>
      <c r="F48" s="4" t="inlineStr">
        <is>
          <t>OG-04 / OG-11</t>
        </is>
      </c>
      <c r="G48" s="4" t="inlineStr">
        <is>
          <t>Rewrite after final DK and classify evidence.</t>
        </is>
      </c>
    </row>
    <row r="49" ht="50" customHeight="1" s="40">
      <c r="A49" s="4" t="inlineStr">
        <is>
          <t>D-10</t>
        </is>
      </c>
      <c r="B49" s="19" t="inlineStr">
        <is>
          <t>Daniel</t>
        </is>
      </c>
      <c r="C49" s="4" t="inlineStr">
        <is>
          <t>pp. 2-3</t>
        </is>
      </c>
      <c r="D49" s="4" t="inlineStr">
        <is>
          <t>Negative sovereign coefficient contradicts H3 and current explanations are ex post.</t>
        </is>
      </c>
      <c r="E49" s="4" t="inlineStr">
        <is>
          <t>MR-01, MR-06, MR-30</t>
        </is>
      </c>
      <c r="F49" s="4" t="inlineStr">
        <is>
          <t>OG-01 / OG-03 / OG-11</t>
        </is>
      </c>
      <c r="G49" s="4" t="inlineStr">
        <is>
          <t>Address through Maximo-priority sovereign-ceiling framing and bounded heterogeneity tests.</t>
        </is>
      </c>
    </row>
    <row r="50" ht="50" customHeight="1" s="40">
      <c r="A50" s="4" t="inlineStr">
        <is>
          <t>D-11</t>
        </is>
      </c>
      <c r="B50" s="19" t="inlineStr">
        <is>
          <t>Daniel</t>
        </is>
      </c>
      <c r="C50" s="4" t="inlineStr">
        <is>
          <t>pp. 2-3</t>
        </is>
      </c>
      <c r="D50" s="4" t="inlineStr">
        <is>
          <t>Relative issue size changes sign under PCSE.</t>
        </is>
      </c>
      <c r="E50" s="4" t="inlineStr">
        <is>
          <t>MR-14, MR-17, MR-19</t>
        </is>
      </c>
      <c r="F50" s="4" t="inlineStr">
        <is>
          <t>OG-07 / OG-08 / OG-10</t>
        </is>
      </c>
      <c r="G50" s="4" t="inlineStr">
        <is>
          <t>Audit construction; remove misleading PCSE comparison.</t>
        </is>
      </c>
    </row>
    <row r="51" ht="50" customHeight="1" s="40">
      <c r="A51" s="4" t="inlineStr">
        <is>
          <t>D-12</t>
        </is>
      </c>
      <c r="B51" s="19" t="inlineStr">
        <is>
          <t>Daniel</t>
        </is>
      </c>
      <c r="C51" s="4" t="inlineStr">
        <is>
          <t>pp. 2-3</t>
        </is>
      </c>
      <c r="D51" s="4" t="inlineStr">
        <is>
          <t>Leverage and operating liquidity are not robust.</t>
        </is>
      </c>
      <c r="E51" s="4" t="inlineStr">
        <is>
          <t>MR-19, MR-30</t>
        </is>
      </c>
      <c r="F51" s="4" t="inlineStr">
        <is>
          <t>OG-11</t>
        </is>
      </c>
      <c r="G51" s="4" t="inlineStr">
        <is>
          <t>Classify as partial/null based on final DK.</t>
        </is>
      </c>
    </row>
    <row r="52" ht="50" customHeight="1" s="40">
      <c r="A52" s="4" t="inlineStr">
        <is>
          <t>D-13</t>
        </is>
      </c>
      <c r="B52" s="19" t="inlineStr">
        <is>
          <t>Daniel</t>
        </is>
      </c>
      <c r="C52" s="4" t="inlineStr">
        <is>
          <t>p. 2</t>
        </is>
      </c>
      <c r="D52" s="4" t="inlineStr">
        <is>
          <t>Contribution is stronger in data/curve construction and macrofinancial associations.</t>
        </is>
      </c>
      <c r="E52" s="4" t="inlineStr">
        <is>
          <t>MR-30, MR-31</t>
        </is>
      </c>
      <c r="F52" s="4" t="inlineStr">
        <is>
          <t>OG-11 / OG-14</t>
        </is>
      </c>
      <c r="G52" s="4" t="inlineStr">
        <is>
          <t>Use in evidence-based contribution narrative, not as a new model task.</t>
        </is>
      </c>
    </row>
    <row r="53" ht="50" customHeight="1" s="40">
      <c r="A53" s="4" t="inlineStr">
        <is>
          <t>D-14</t>
        </is>
      </c>
      <c r="B53" s="19" t="inlineStr">
        <is>
          <t>Daniel</t>
        </is>
      </c>
      <c r="C53" s="4" t="inlineStr">
        <is>
          <t>p. 2</t>
        </is>
      </c>
      <c r="D53" s="4" t="inlineStr">
        <is>
          <t>Final copy-edit needed for language, precision, repetition and terminology.</t>
        </is>
      </c>
      <c r="E53" s="4" t="inlineStr">
        <is>
          <t>MR-33</t>
        </is>
      </c>
      <c r="F53" s="4" t="inlineStr">
        <is>
          <t>OG-15</t>
        </is>
      </c>
      <c r="G53" s="4" t="inlineStr">
        <is>
          <t>Minor final-stage correction.</t>
        </is>
      </c>
    </row>
    <row r="54" ht="50" customHeight="1" s="40">
      <c r="A54" s="4" t="inlineStr">
        <is>
          <t>D-15</t>
        </is>
      </c>
      <c r="B54" s="19" t="inlineStr">
        <is>
          <t>Daniel</t>
        </is>
      </c>
      <c r="C54" s="4" t="inlineStr">
        <is>
          <t>pp. 2-3</t>
        </is>
      </c>
      <c r="D54" s="4" t="inlineStr">
        <is>
          <t>Literature should be more critical/current; bibliometrics are insufficient.</t>
        </is>
      </c>
      <c r="E54" s="4" t="inlineStr">
        <is>
          <t>MR-11, MR-34</t>
        </is>
      </c>
      <c r="F54" s="4" t="inlineStr">
        <is>
          <t>OG-05 / OG-16</t>
        </is>
      </c>
      <c r="G54" s="4" t="inlineStr">
        <is>
          <t>Minor, targeted bibliography and closest-study update.</t>
        </is>
      </c>
    </row>
    <row r="55" ht="50" customHeight="1" s="40">
      <c r="A55" s="4" t="inlineStr">
        <is>
          <t>D-16</t>
        </is>
      </c>
      <c r="B55" s="19" t="inlineStr">
        <is>
          <t>Daniel</t>
        </is>
      </c>
      <c r="C55" s="4" t="inlineStr">
        <is>
          <t>p. 3</t>
        </is>
      </c>
      <c r="D55" s="4" t="inlineStr">
        <is>
          <t>Defense must justify originality and the database/IPCA curve contribution.</t>
        </is>
      </c>
      <c r="E55" s="4" t="inlineStr">
        <is>
          <t>MR-31, MR-30</t>
        </is>
      </c>
      <c r="F55" s="4" t="inlineStr">
        <is>
          <t>OG-14</t>
        </is>
      </c>
      <c r="G55" s="4" t="inlineStr">
        <is>
          <t>Prepare concise contribution evidence.</t>
        </is>
      </c>
    </row>
    <row r="56" ht="50" customHeight="1" s="40">
      <c r="A56" s="4" t="inlineStr">
        <is>
          <t>D-17</t>
        </is>
      </c>
      <c r="B56" s="19" t="inlineStr">
        <is>
          <t>Daniel</t>
        </is>
      </c>
      <c r="C56" s="4" t="inlineStr">
        <is>
          <t>p. 3</t>
        </is>
      </c>
      <c r="D56" s="4" t="inlineStr">
        <is>
          <t>Defense must justify FE and treatment of heteroskedasticity/dependence/serial correlation/imbalance.</t>
        </is>
      </c>
      <c r="E56" s="4" t="inlineStr">
        <is>
          <t>MR-12, MR-13, MR-16, MR-20</t>
        </is>
      </c>
      <c r="F56" s="4" t="inlineStr">
        <is>
          <t>OG-06 / OG-07 / OG-08 / OG-09</t>
        </is>
      </c>
      <c r="G56" s="4" t="inlineStr">
        <is>
          <t>Show diagnostics, DK rationale and limits; no major redesign.</t>
        </is>
      </c>
    </row>
    <row r="57" ht="50" customHeight="1" s="40">
      <c r="A57" s="4" t="inlineStr">
        <is>
          <t>D-18</t>
        </is>
      </c>
      <c r="B57" s="19" t="inlineStr">
        <is>
          <t>Daniel</t>
        </is>
      </c>
      <c r="C57" s="4" t="inlineStr">
        <is>
          <t>p. 3</t>
        </is>
      </c>
      <c r="D57" s="4" t="inlineStr">
        <is>
          <t>Defense must discuss counterintuitive signs, issue-size sensitivity and non-robust firm variables.</t>
        </is>
      </c>
      <c r="E57" s="4" t="inlineStr">
        <is>
          <t>MR-09, MR-14, MR-19, MR-30, MR-32</t>
        </is>
      </c>
      <c r="F57" s="4" t="inlineStr">
        <is>
          <t>OG-04 / OG-07 / OG-11 / OG-14</t>
        </is>
      </c>
      <c r="G57" s="4" t="inlineStr">
        <is>
          <t>Use final H-result scorecard and robust/partial/null hierarchy.</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tabColor rgb="FFF4B183"/>
    <outlinePr summaryBelow="1" summaryRight="1"/>
    <pageSetUpPr/>
  </sheetPr>
  <dimension ref="A1:G32"/>
  <sheetViews>
    <sheetView showGridLines="0" workbookViewId="0">
      <selection activeCell="A1" sqref="A1"/>
    </sheetView>
  </sheetViews>
  <sheetFormatPr baseColWidth="8" defaultRowHeight="14.5"/>
  <cols>
    <col width="12" customWidth="1" style="40" min="1" max="1"/>
    <col width="26" customWidth="1" style="40" min="2" max="2"/>
    <col width="28" customWidth="1" style="40" min="3" max="3"/>
    <col width="62" customWidth="1" style="40" min="4" max="4"/>
    <col width="36" customWidth="1" style="40" min="5" max="5"/>
    <col width="28" customWidth="1" style="40" min="6" max="6"/>
    <col width="58" customWidth="1" style="40" min="7" max="7"/>
  </cols>
  <sheetData>
    <row r="1" ht="26" customHeight="1" s="40">
      <c r="A1" s="45" t="inlineStr">
        <is>
          <t>Director Follow-up Guidance</t>
        </is>
      </c>
    </row>
    <row r="2" ht="34" customHeight="1" s="40">
      <c r="A2" s="48" t="inlineStr">
        <is>
          <t>Traceability for Martin Grandes' September 2026 audio/text guidance. Entries through 27-Sep-2026 update disposition, scope and the exact estimation output; they are not additional juror criticisms.</t>
        </is>
      </c>
    </row>
    <row r="3" ht="34" customHeight="1" s="40">
      <c r="A3" s="3" t="inlineStr">
        <is>
          <t>Guidance ID</t>
        </is>
      </c>
      <c r="B3" s="3" t="inlineStr">
        <is>
          <t>Source / date</t>
        </is>
      </c>
      <c r="C3" s="3" t="inlineStr">
        <is>
          <t>Topic</t>
        </is>
      </c>
      <c r="D3" s="3" t="inlineStr">
        <is>
          <t>Director guidance - condensed</t>
        </is>
      </c>
      <c r="E3" s="3" t="inlineStr">
        <is>
          <t>Master issue / WP</t>
        </is>
      </c>
      <c r="F3" s="3" t="inlineStr">
        <is>
          <t>Disposition</t>
        </is>
      </c>
      <c r="G3" s="3" t="inlineStr">
        <is>
          <t>Required incorporation</t>
        </is>
      </c>
    </row>
    <row r="4" ht="66" customHeight="1" s="40">
      <c r="A4" s="4" t="inlineStr">
        <is>
          <t>MG-01</t>
        </is>
      </c>
      <c r="B4" s="4" t="inlineStr">
        <is>
          <t>WhatsApp audio, Sep-2026</t>
        </is>
      </c>
      <c r="C4" s="4" t="inlineStr">
        <is>
          <t>Dynamic panel / lagged spread</t>
        </is>
      </c>
      <c r="D4" s="4" t="inlineStr">
        <is>
          <t>A one-month lag of price/spread has no clear economic role in a forward-looking market at monthly frequency; answer the juror but do not make the model dynamic.</t>
        </is>
      </c>
      <c r="E4" s="4" t="inlineStr">
        <is>
          <t>MR-20 / WP-16</t>
        </is>
      </c>
      <c r="F4" s="4" t="inlineStr">
        <is>
          <t>Not endorsed for main model</t>
        </is>
      </c>
      <c r="G4" s="4" t="inlineStr">
        <is>
          <t>Add a concise static-model rationale, acknowledge persistence and include the non-change in the response memo/PPT.</t>
        </is>
      </c>
    </row>
    <row r="5" ht="66" customHeight="1" s="40">
      <c r="A5" s="4" t="inlineStr">
        <is>
          <t>MG-02</t>
        </is>
      </c>
      <c r="B5" s="4" t="inlineStr">
        <is>
          <t>WhatsApp audio, Sep-2026</t>
        </is>
      </c>
      <c r="C5" s="4" t="inlineStr">
        <is>
          <t>SELIC - first rationale</t>
        </is>
      </c>
      <c r="D5" s="4" t="inlineStr">
        <is>
          <t>Do not add SELIC mechanically; it may duplicate the U.S. forward rate plus expected BRL depreciation.</t>
        </is>
      </c>
      <c r="E5" s="4" t="inlineStr">
        <is>
          <t>MR-04, MR-26 / WP-04</t>
        </is>
      </c>
      <c r="F5" s="4" t="inlineStr">
        <is>
          <t>Diagnostic first</t>
        </is>
      </c>
      <c r="G5" s="4" t="inlineStr">
        <is>
          <t>Document overlap and incremental information before any robustness use.</t>
        </is>
      </c>
    </row>
    <row r="6" ht="66" customHeight="1" s="40">
      <c r="A6" s="4" t="inlineStr">
        <is>
          <t>MG-03</t>
        </is>
      </c>
      <c r="B6" s="4" t="inlineStr">
        <is>
          <t>WhatsApp audio, Sep-2026</t>
        </is>
      </c>
      <c r="C6" s="4" t="inlineStr">
        <is>
          <t>Sovereign risk measure</t>
        </is>
      </c>
      <c r="D6" s="4" t="inlineStr">
        <is>
          <t>The relevant object is Brazil sovereign risk in local currency, not international USD CDS; this is why local curves were built. 27-Sep-2026 clarification: USD CDS 5Y was never part of the economic model and should not be introduced.</t>
        </is>
      </c>
      <c r="E6" s="4" t="inlineStr">
        <is>
          <t>MR-01, MR-02 / WP-02</t>
        </is>
      </c>
      <c r="F6" s="4" t="inlineStr">
        <is>
          <t>Core clarification</t>
        </is>
      </c>
      <c r="G6" s="4" t="inlineStr">
        <is>
          <t>Keep the primary benchmark local and matched; verify USD CDS 5Y is absent from the model and remove any secondary-control language suggesting otherwise.</t>
        </is>
      </c>
    </row>
    <row r="7" ht="66" customHeight="1" s="40">
      <c r="A7" s="4" t="inlineStr">
        <is>
          <t>MG-04</t>
        </is>
      </c>
      <c r="B7" s="4" t="inlineStr">
        <is>
          <t>WhatsApp audio, Sep-2026</t>
        </is>
      </c>
      <c r="C7" s="4" t="inlineStr">
        <is>
          <t>Heterogeneity</t>
        </is>
      </c>
      <c r="D7" s="4" t="inlineStr">
        <is>
          <t>Differences across bonds or groups by sector/industry may be important, but the revision should remain bounded.</t>
        </is>
      </c>
      <c r="E7" s="4" t="inlineStr">
        <is>
          <t>MR-06, MR-07 / WP-05</t>
        </is>
      </c>
      <c r="F7" s="4" t="inlineStr">
        <is>
          <t>Endorsed parsimoniously</t>
        </is>
      </c>
      <c r="G7" s="4" t="inlineStr">
        <is>
          <t>Use pre-specified rating/sector groups and equality tests; avoid an unlimited battery.</t>
        </is>
      </c>
    </row>
    <row r="8" ht="66" customHeight="1" s="40">
      <c r="A8" s="4" t="inlineStr">
        <is>
          <t>MG-05</t>
        </is>
      </c>
      <c r="B8" s="4" t="inlineStr">
        <is>
          <t>WhatsApp audio, Sep-2026</t>
        </is>
      </c>
      <c r="C8" s="4" t="inlineStr">
        <is>
          <t>Theoretical scope</t>
        </is>
      </c>
      <c r="D8" s="4" t="inlineStr">
        <is>
          <t>Acknowledge what theory can derive, but the thesis/paper is empirical and should not be redesigned as a theoretical model.</t>
        </is>
      </c>
      <c r="E8" s="4" t="inlineStr">
        <is>
          <t>MR-05, MR-11, MR-32, MR-34 / WP-11</t>
        </is>
      </c>
      <c r="F8" s="4" t="inlineStr">
        <is>
          <t>Bounded clarification</t>
        </is>
      </c>
      <c r="G8" s="4" t="inlineStr">
        <is>
          <t>Strengthen the theory-to-specification bridge only where it supports the empirical design.</t>
        </is>
      </c>
    </row>
    <row r="9" ht="66" customHeight="1" s="40">
      <c r="A9" s="4" t="inlineStr">
        <is>
          <t>MG-06</t>
        </is>
      </c>
      <c r="B9" s="4" t="inlineStr">
        <is>
          <t>WhatsApp audio/text, Sep-2026</t>
        </is>
      </c>
      <c r="C9" s="4" t="inlineStr">
        <is>
          <t>Geneva presentation</t>
        </is>
      </c>
      <c r="D9" s="4" t="inlineStr">
        <is>
          <t>Shorten the deck; remove excessive methodology/literature; emphasize external versus internal factors and state what was not estimated and why.</t>
        </is>
      </c>
      <c r="E9" s="4" t="inlineStr">
        <is>
          <t>MR-30, MR-31 / WP-14, WP-16</t>
        </is>
      </c>
      <c r="F9" s="4" t="inlineStr">
        <is>
          <t>Presentation requirement</t>
        </is>
      </c>
      <c r="G9" s="4" t="inlineStr">
        <is>
          <t>Build the concise narrative after final results.</t>
        </is>
      </c>
    </row>
    <row r="10" ht="66" customHeight="1" s="40">
      <c r="A10" s="4" t="inlineStr">
        <is>
          <t>MG-07</t>
        </is>
      </c>
      <c r="B10" s="4" t="inlineStr">
        <is>
          <t>Follow-up text, Sep-2026</t>
        </is>
      </c>
      <c r="C10" s="4" t="inlineStr">
        <is>
          <t>Issuer/bond point estimates</t>
        </is>
      </c>
      <c r="D10" s="4" t="inlineStr">
        <is>
          <t>Issuer-level and, where sufficiently powered, bond-level heterogeneous estimates may be informative; small-T slopes can be imprecise.</t>
        </is>
      </c>
      <c r="E10" s="4" t="inlineStr">
        <is>
          <t>MR-05, MR-06 / WP-05, WP-16</t>
        </is>
      </c>
      <c r="F10" s="4" t="inlineStr">
        <is>
          <t>Extension / bounded test</t>
        </is>
      </c>
      <c r="G10" s="4" t="inlineStr">
        <is>
          <t>Prioritize grouped tests; disclose precision limits and do not delay the TFM for 103 separate slopes.</t>
        </is>
      </c>
    </row>
    <row r="11" ht="66" customHeight="1" s="40">
      <c r="A11" s="4" t="inlineStr">
        <is>
          <t>MG-08</t>
        </is>
      </c>
      <c r="B11" s="4" t="inlineStr">
        <is>
          <t>WhatsApp audio, Sep-2026</t>
        </is>
      </c>
      <c r="C11" s="4" t="inlineStr">
        <is>
          <t>Revision scope</t>
        </is>
      </c>
      <c r="D11" s="4" t="inlineStr">
        <is>
          <t>Respond to every comment, but not every suggested extension must be implemented; the thesis must have a bounded end.</t>
        </is>
      </c>
      <c r="E11" s="4" t="inlineStr">
        <is>
          <t>All / Action Sequence</t>
        </is>
      </c>
      <c r="F11" s="4" t="inlineStr">
        <is>
          <t>Scope-control principle</t>
        </is>
      </c>
      <c r="G11" s="4" t="inlineStr">
        <is>
          <t>Map each point to a change, diagnostic, defense answer or reasoned non-change.</t>
        </is>
      </c>
    </row>
    <row r="12" ht="66" customHeight="1" s="40">
      <c r="A12" s="20" t="inlineStr">
        <is>
          <t>MG-09</t>
        </is>
      </c>
      <c r="B12" s="21" t="inlineStr">
        <is>
          <t>WhatsApp text, 24-Sep-2026</t>
        </is>
      </c>
      <c r="C12" s="21" t="inlineStr">
        <is>
          <t>Daniel report triage</t>
        </is>
      </c>
      <c r="D12" s="21" t="inlineStr">
        <is>
          <t>Daniel is less substantive than Ailin and Maximo. His main points are better hypothesis-result links, clearer explanations of counterintuitive signs, visible treatment of estimation problems already addressed, and minor bibliography corrections.</t>
        </is>
      </c>
      <c r="E12" s="21" t="inlineStr">
        <is>
          <t>MR-09, MR-11, MR-16, MR-19, MR-30-MR-34 / WP-07, WP-11, WP-13, WP-14</t>
        </is>
      </c>
      <c r="F12" s="21" t="inlineStr">
        <is>
          <t>Selective / secondary priority</t>
        </is>
      </c>
      <c r="G12" s="21" t="inlineStr">
        <is>
          <t>Do not redesign the model for Daniel. Implement targeted exposition, diagnostics visibility and bibliography clean-up after the core empirical work.</t>
        </is>
      </c>
    </row>
    <row r="13" ht="66" customHeight="1" s="40">
      <c r="A13" s="20" t="inlineStr">
        <is>
          <t>MG-10</t>
        </is>
      </c>
      <c r="B13" s="21" t="inlineStr">
        <is>
          <t>WhatsApp text, 24-Sep-2026</t>
        </is>
      </c>
      <c r="C13" s="21" t="inlineStr">
        <is>
          <t>SELIC - final disposition</t>
        </is>
      </c>
      <c r="D13" s="21" t="inlineStr">
        <is>
          <t>Do not include SELIC as a separate baseline regressor: beyond the redundancy argument, it anchors the short end of the local reference curve. A 3M Forward SELIC may be run only as a referee diagnostic under the later specified exclusions.</t>
        </is>
      </c>
      <c r="E13" s="21" t="inlineStr">
        <is>
          <t>MR-04, MR-26 / WP-04</t>
        </is>
      </c>
      <c r="F13" s="21" t="inlineStr">
        <is>
          <t>Baseline excluded; referee diagnostic only</t>
        </is>
      </c>
      <c r="G13" s="21" t="inlineStr">
        <is>
          <t>Explain the non-inclusion in the thesis/response; do not add SELIC mechanically. If run, keep SELIC 3M Forward outside the preferred baseline.</t>
        </is>
      </c>
    </row>
    <row r="14" ht="66" customHeight="1" s="40">
      <c r="A14" s="20" t="inlineStr">
        <is>
          <t>MG-11</t>
        </is>
      </c>
      <c r="B14" s="21" t="inlineStr">
        <is>
          <t>WhatsApp text, 24-Sep-2026</t>
        </is>
      </c>
      <c r="C14" s="21" t="inlineStr">
        <is>
          <t>Sovereign ceiling and matched-yield formulation</t>
        </is>
      </c>
      <c r="D14" s="21" t="inlineStr">
        <is>
          <t>Corporate excess or shortfall relative to the sovereign is closely related to the sovereign-ceiling hypothesis. 27-Sep-2026 clarification: the preferred econometric model keeps Corporate Spread = corporate YTM - local reference yield and Sovereign Risk = government YTM - the same local reference yield as separate variables, because the objective is to estimate how the first responds to the second. A direct corporate-minus-sovereign spread is a related alternative, not an identical econometric specification.</t>
        </is>
      </c>
      <c r="E14" s="21" t="inlineStr">
        <is>
          <t>MR-01, MR-02 / WP-02</t>
        </is>
      </c>
      <c r="F14" s="21" t="inlineStr">
        <is>
          <t>Top substantive priority</t>
        </is>
      </c>
      <c r="G14" s="21" t="inlineStr">
        <is>
          <t>Add sovereign-ceiling framing, matching audit and literature justification for the preferred two-spread transmission specification; do not replace the dependent corporate spread with a direct corporate-sovereign differential.</t>
        </is>
      </c>
    </row>
    <row r="15" ht="66" customHeight="1" s="40">
      <c r="A15" s="20" t="inlineStr">
        <is>
          <t>MG-12</t>
        </is>
      </c>
      <c r="B15" s="21" t="inlineStr">
        <is>
          <t>WhatsApp text, 24-Sep-2026</t>
        </is>
      </c>
      <c r="C15" s="21" t="inlineStr">
        <is>
          <t>Bordeaux/Geneva estimator and specifications</t>
        </is>
      </c>
      <c r="D15" s="21" t="inlineStr">
        <is>
          <t>Present Driscoll-Kraay only, show diagnostic tests below, explain why PCSE is discarded, use the real exchange rate, and compare models with and without macro controls correlated with local sovereign risk.</t>
        </is>
      </c>
      <c r="E15" s="21" t="inlineStr">
        <is>
          <t>MR-16, MR-17, MR-18 / WP-07, WP-08, WP-16</t>
        </is>
      </c>
      <c r="F15" s="21" t="inlineStr">
        <is>
          <t>Seminar specification</t>
        </is>
      </c>
      <c r="G15" s="21" t="inlineStr">
        <is>
          <t>Prepare one DK-only main table plus diagnostics and clearly labeled with/without-control columns.</t>
        </is>
      </c>
    </row>
    <row r="16" ht="78" customHeight="1" s="40">
      <c r="A16" s="20" t="inlineStr">
        <is>
          <t>MG-13</t>
        </is>
      </c>
      <c r="B16" s="21" t="inlineStr">
        <is>
          <t>WhatsApp text, 25-Sep-2026</t>
        </is>
      </c>
      <c r="C16" s="21" t="inlineStr">
        <is>
          <t>PCSE rationale confirmed</t>
        </is>
      </c>
      <c r="D16" s="21" t="inlineStr">
        <is>
          <t>Martin accepts the explanation that the highly unbalanced panel and limited common temporal overlap make PCSE covariance estimation less reliable.</t>
        </is>
      </c>
      <c r="E16" s="21" t="inlineStr">
        <is>
          <t>MR-16, MR-17 / WP-07</t>
        </is>
      </c>
      <c r="F16" s="21" t="inlineStr">
        <is>
          <t>Confirmed exclusion</t>
        </is>
      </c>
      <c r="G16" s="21" t="inlineStr">
        <is>
          <t>State the rationale precisely; remove PCSE and the separate conventional-FE column from the main paper/seminar table.</t>
        </is>
      </c>
    </row>
    <row r="17" ht="78" customHeight="1" s="40">
      <c r="A17" s="20" t="inlineStr">
        <is>
          <t>MG-14</t>
        </is>
      </c>
      <c r="B17" s="21" t="inlineStr">
        <is>
          <t>WhatsApp text, 25-Sep-2026</t>
        </is>
      </c>
      <c r="C17" s="21" t="inlineStr">
        <is>
          <t>One-table output</t>
        </is>
      </c>
      <c r="D17" s="21" t="inlineStr">
        <is>
          <t>Produce one table similar to submitted Table 5, but exclude the plain FE and PCSE columns and use only FE with Driscoll-Kraay SE.</t>
        </is>
      </c>
      <c r="E17" s="21" t="inlineStr">
        <is>
          <t>MR-16, MR-18, MR-24 / WP-07, WP-08, WP-12</t>
        </is>
      </c>
      <c r="F17" s="21" t="inlineStr">
        <is>
          <t>Required paper/seminar output</t>
        </is>
      </c>
      <c r="G17" s="21" t="inlineStr">
        <is>
          <t>Use one consolidated table, diagnostics below, and the requested summary statistics.</t>
        </is>
      </c>
    </row>
    <row r="18" ht="78" customHeight="1" s="40">
      <c r="A18" s="20" t="inlineStr">
        <is>
          <t>MG-15</t>
        </is>
      </c>
      <c r="B18" s="21" t="inlineStr">
        <is>
          <t>WhatsApp text, 25-Sep-2026</t>
        </is>
      </c>
      <c r="C18" s="21" t="inlineStr">
        <is>
          <t>FED3M Forward - nominal, not old real series</t>
        </is>
      </c>
      <c r="D18" s="21" t="inlineStr">
        <is>
          <t>Do not use the previously constructed FED3M Forward Real: a three-month forward rate would require three-month expected U.S. inflation, not inflation published today/past inflation.</t>
        </is>
      </c>
      <c r="E18" s="21" t="inlineStr">
        <is>
          <t>MR-18 / WP-08</t>
        </is>
      </c>
      <c r="F18" s="21" t="inlineStr">
        <is>
          <t>Variable correction</t>
        </is>
      </c>
      <c r="G18" s="21" t="inlineStr">
        <is>
          <t>Use nominal FED3M Forward in the requested exercise; rebuild a real rate only with horizon-consistent expected inflation.</t>
        </is>
      </c>
    </row>
    <row r="19" ht="78" customHeight="1" s="40">
      <c r="A19" s="20" t="inlineStr">
        <is>
          <t>MG-16</t>
        </is>
      </c>
      <c r="B19" s="21" t="inlineStr">
        <is>
          <t>WhatsApp text, 25-Sep-2026</t>
        </is>
      </c>
      <c r="C19" s="21" t="inlineStr">
        <is>
          <t>SELIC rationale and optional checks</t>
        </is>
      </c>
      <c r="D19" s="21" t="inlineStr">
        <is>
          <t>Baseline SELIC exclusion rests on UIP overlap with FED3M plus expected depreciation and on SELIC anchoring the short end of the local curve. 27-Sep: optional SELIC 3M Forward checks are only for the referee; after seeing the result, decide whether it is informative enough to show or publish.</t>
        </is>
      </c>
      <c r="E19" s="21" t="inlineStr">
        <is>
          <t>MR-04, MR-26 / WP-04, WP-08</t>
        </is>
      </c>
      <c r="F19" s="21" t="inlineStr">
        <is>
          <t>Baseline excluded; referee robustness optional</t>
        </is>
      </c>
      <c r="G19" s="21" t="inlineStr">
        <is>
          <t>Document both reasons and, if feasible, run the two scoped SELIC 3M Forward checks after the core table. Label them referee-only and retain in the paper only if they add useful information.</t>
        </is>
      </c>
    </row>
    <row r="20" ht="78" customHeight="1" s="40">
      <c r="A20" s="20" t="inlineStr">
        <is>
          <t>MG-17</t>
        </is>
      </c>
      <c r="B20" s="21" t="inlineStr">
        <is>
          <t>WhatsApp text, 25-Sep-2026</t>
        </is>
      </c>
      <c r="C20" s="21" t="inlineStr">
        <is>
          <t>Stacked variable blocks</t>
        </is>
      </c>
      <c r="D20" s="21" t="inlineStr">
        <is>
          <t>One referee requested specifications that begin with external variables, then add domestic macro and local sovereign risk, then firm/bond controls.</t>
        </is>
      </c>
      <c r="E20" s="21" t="inlineStr">
        <is>
          <t>MR-18 / WP-08</t>
        </is>
      </c>
      <c r="F20" s="21" t="inlineStr">
        <is>
          <t>Sequential specification principle</t>
        </is>
      </c>
      <c r="G20" s="21" t="inlineStr">
        <is>
          <t>Use a transparent block sequence, but confirm how it maps to the attached template, which keeps firm/bond controls in all core columns.</t>
        </is>
      </c>
    </row>
    <row r="21" ht="78" customHeight="1" s="40">
      <c r="A21" s="20" t="inlineStr">
        <is>
          <t>MG-18</t>
        </is>
      </c>
      <c r="B21" s="21" t="inlineStr">
        <is>
          <t>WhatsApp text, 25-Sep-2026</t>
        </is>
      </c>
      <c r="C21" s="21" t="inlineStr">
        <is>
          <t>FX and inflation interpretation</t>
        </is>
      </c>
      <c r="D21" s="21" t="inlineStr">
        <is>
          <t>Nominal and real exchange rates reportedly give almost the same result/significance. Under the matched corporate-sovereign yield differential, Martin does not want a separate inflation term; RER remains relevant as a relative price in changes.</t>
        </is>
      </c>
      <c r="E21" s="21" t="inlineStr">
        <is>
          <t>MR-01, MR-18, MR-26 / WP-02, WP-08</t>
        </is>
      </c>
      <c r="F21" s="21" t="inlineStr">
        <is>
          <t>Interpretation / robustness</t>
        </is>
      </c>
      <c r="G21" s="21" t="inlineStr">
        <is>
          <t>Verify the regenerated results, use RER in the designated robustness columns, and explain the inflation treatment without mixing real/nominal yield terminology.</t>
        </is>
      </c>
    </row>
    <row r="22" ht="78" customHeight="1" s="40">
      <c r="A22" s="20" t="inlineStr">
        <is>
          <t>MG-19</t>
        </is>
      </c>
      <c r="B22" s="21" t="inlineStr">
        <is>
          <t>WhatsApp text + attached table, 25-Sep-2026</t>
        </is>
      </c>
      <c r="C22" s="21" t="inlineStr">
        <is>
          <t>Exact grid and delivery target</t>
        </is>
      </c>
      <c r="D22" s="21" t="inlineStr">
        <is>
          <t>The attached table specifies four FE-DK columns and requests Within R-squared and rho. Martin asks whether the output can be ready by the following Wednesday.</t>
        </is>
      </c>
      <c r="E22" s="21" t="inlineStr">
        <is>
          <t>MR-18, MR-24 / WP-08, WP-12, WP-16</t>
        </is>
      </c>
      <c r="F22" s="21" t="inlineStr">
        <is>
          <t>Target: 30-Sep-2026</t>
        </is>
      </c>
      <c r="G22" s="21" t="inlineStr">
        <is>
          <t>Use the Estimation Plan sheet as the implementation checklist; confirm the NER/RER and stacking ambiguities before final execution.</t>
        </is>
      </c>
    </row>
    <row r="23" ht="78" customHeight="1" s="40">
      <c r="A23" s="20" t="inlineStr">
        <is>
          <t>MG-20</t>
        </is>
      </c>
      <c r="B23" s="21" t="inlineStr">
        <is>
          <t>WhatsApp audio, 25-Sep-2026</t>
        </is>
      </c>
      <c r="C23" s="21" t="inlineStr">
        <is>
          <t>Sovereign Risk (BRL) - definitive construction</t>
        </is>
      </c>
      <c r="D23" s="21" t="inlineStr">
        <is>
          <t>Do not call the variable "synthetic CDS BRL". It is not a credit default swap. The intended regressor is a maturity-matched domestic sovereign spread: Brazilian government-bond YTM minus the corresponding local risk-free/reference yield obtained from the futures/swap/interpolated curve. 27-Sep clarification: USD CDS 5Y was never part of the economic model; the preferred regression keeps this sovereign spread separate from the corporate spread so the response of one to the other can be estimated.</t>
        </is>
      </c>
      <c r="E23" s="21" t="inlineStr">
        <is>
          <t>MR-01, MR-02 / WP-02</t>
        </is>
      </c>
      <c r="F23" s="21" t="inlineStr">
        <is>
          <t>Definition confirmed; terminology corrected</t>
        </is>
      </c>
      <c r="G23" s="21" t="inlineStr">
        <is>
          <t>Audit implementation before re-estimation; match maturity/tenor and consistent currency/indexation; rename the variable throughout; document the common-reference two-spread specification; verify USD CDS 5Y is absent from the model.</t>
        </is>
      </c>
    </row>
    <row r="24" ht="78" customHeight="1" s="40">
      <c r="A24" s="20" t="inlineStr">
        <is>
          <t>MG-21</t>
        </is>
      </c>
      <c r="B24" s="21" t="inlineStr">
        <is>
          <t>WhatsApp audio, 27-Sep-2026</t>
        </is>
      </c>
      <c r="C24" s="21" t="inlineStr">
        <is>
          <t>Common-reference two-spread specification and referee-only SELIC check</t>
        </is>
      </c>
      <c r="D24" s="21" t="inlineStr">
        <is>
          <t>Corporate Spread = corporate YTM minus the matched local reference yield and Sovereign Risk (BRL) = government YTM minus that same reference curve. Although closely related to a direct corporate-minus-sovereign spread, Martin prefers keeping the two spreads separate so the model estimates the response of corporate spread to sovereign risk. Explain this choice with literature. USD CDS 5Y was never in the economic model. SELIC is already embedded at the curve short end; SELIC 3M Forward may be run only for the referee and shown/published only if informative.</t>
        </is>
      </c>
      <c r="E24" s="21" t="inlineStr">
        <is>
          <t>MR-01, MR-02, MR-04, MR-18 / WP-02, WP-04, WP-08</t>
        </is>
      </c>
      <c r="F24" s="21" t="inlineStr">
        <is>
          <t>Preferred specification confirmed</t>
        </is>
      </c>
      <c r="G24" s="21" t="inlineStr">
        <is>
          <t>Document both spread equations and the common-reference logic; justify the separate-regressor specification with literature; verify USD CDS 5Y is absent; keep SELIC 3M Forward secondary/referee-only.</t>
        </is>
      </c>
    </row>
    <row r="25" ht="72" customHeight="1" s="40">
      <c r="A25" s="57" t="inlineStr">
        <is>
          <t>MG-22</t>
        </is>
      </c>
      <c r="B25" s="58" t="inlineStr">
        <is>
          <t>Zoom meeting, 2-Oct-2026</t>
        </is>
      </c>
      <c r="C25" s="58" t="inlineStr">
        <is>
          <t>Revision scope and contribution</t>
        </is>
      </c>
      <c r="D25" s="58" t="inlineStr">
        <is>
          <t>Concentrate on the thesis contribution in data construction and empirical work. Respond to every jury point, but do not mechanically implement every suggested extension; some comments should be answered with a precise academic explanation or reasoned non-change.</t>
        </is>
      </c>
      <c r="E25" s="58" t="inlineStr">
        <is>
          <t>All / Action Sequence</t>
        </is>
      </c>
      <c r="F25" s="58" t="inlineStr">
        <is>
          <t>Scope-control reaffirmed</t>
        </is>
      </c>
      <c r="G25" s="58" t="inlineStr">
        <is>
          <t>Keep the Data Freeze Gate and issue-by-issue response logic; distinguish mandatory changes from explanation/defense items.</t>
        </is>
      </c>
    </row>
    <row r="26" ht="72" customHeight="1" s="40">
      <c r="A26" s="57" t="inlineStr">
        <is>
          <t>MG-23</t>
        </is>
      </c>
      <c r="B26" s="58" t="inlineStr">
        <is>
          <t>Zoom meeting, 2-Oct-2026</t>
        </is>
      </c>
      <c r="C26" s="58" t="inlineStr">
        <is>
          <t>Relative issue size / liquidity proxy</t>
        </is>
      </c>
      <c r="D26" s="58" t="inlineStr">
        <is>
          <t>AMT_ISSUED is static, but the quarterly asset denominator varies. Turnover/amount outstanding would be conceptually closer to secondary liquidity, yet sparse trading in Brazilian corporate bonds may produce many zeros and little useful variation. The existing ratio can remain if framed as a second-best relative issue-size / primary issuance-liquidity measure.</t>
        </is>
      </c>
      <c r="E26" s="58" t="inlineStr">
        <is>
          <t>MR-14 / WP-03</t>
        </is>
      </c>
      <c r="F26" s="58" t="inlineStr">
        <is>
          <t>Retain with clearer interpretation</t>
        </is>
      </c>
      <c r="G26" s="58" t="inlineStr">
        <is>
          <t>Do not replace the audited ratio solely to satisfy the reviewer; clarify what it measures and why secondary-turnover alternatives may be weak in this market.</t>
        </is>
      </c>
    </row>
    <row r="27" ht="72" customHeight="1" s="40">
      <c r="A27" s="57" t="inlineStr">
        <is>
          <t>MG-24</t>
        </is>
      </c>
      <c r="B27" s="58" t="inlineStr">
        <is>
          <t>Zoom meeting, 2-Oct-2026</t>
        </is>
      </c>
      <c r="C27" s="58" t="inlineStr">
        <is>
          <t>VIX response</t>
        </is>
      </c>
      <c r="D27" s="58" t="inlineStr">
        <is>
          <t>Defend VIX with the academic literature. Other studies may use high-yield/junk-bond spreads or other global-risk proxies, but that does not require changing the econometric variable. Do not add new VIX econometrics merely to answer the criticism.</t>
        </is>
      </c>
      <c r="E27" s="58" t="inlineStr">
        <is>
          <t>MR-09 / WP-06</t>
        </is>
      </c>
      <c r="F27" s="58" t="inlineStr">
        <is>
          <t>Retain / defend</t>
        </is>
      </c>
      <c r="G27" s="58" t="inlineStr">
        <is>
          <t>Keep VIX as global volatility/financial-stress proxy, cite relevant literature, and reserve sign interpretation for the post-freeze results.</t>
        </is>
      </c>
    </row>
    <row r="28" ht="72" customHeight="1" s="40">
      <c r="A28" s="57" t="inlineStr">
        <is>
          <t>MG-25</t>
        </is>
      </c>
      <c r="B28" s="58" t="inlineStr">
        <is>
          <t>Zoom meeting, 2-Oct-2026</t>
        </is>
      </c>
      <c r="C28" s="58" t="inlineStr">
        <is>
          <t>Brazil 3M DI / SELIC robustness</t>
        </is>
      </c>
      <c r="D28" s="58" t="inlineStr">
        <is>
          <t>Use the domestic 3-month rate as a robustness exercise after the core model is frozen, comparing the specified model with the U.S. nominal Fed 3M variable retained versus omitted. It is not a baseline replacement.</t>
        </is>
      </c>
      <c r="E28" s="58" t="inlineStr">
        <is>
          <t>MR-04, MR-18 / WP-04, WP-08</t>
        </is>
      </c>
      <c r="F28" s="58" t="inlineStr">
        <is>
          <t>Post-freeze robustness</t>
        </is>
      </c>
      <c r="G28" s="58" t="inlineStr">
        <is>
          <t>Run the prepared Brazil 3M DI checks only after the frozen-panel core rerun and keep them clearly separate from the preferred baseline.</t>
        </is>
      </c>
    </row>
    <row r="29" ht="72" customHeight="1" s="40">
      <c r="A29" s="57" t="inlineStr">
        <is>
          <t>MG-26</t>
        </is>
      </c>
      <c r="B29" s="58" t="inlineStr">
        <is>
          <t>Zoom meeting, 2-Oct-2026</t>
        </is>
      </c>
      <c r="C29" s="58" t="inlineStr">
        <is>
          <t>FE, Driscoll-Kraay and PCSE</t>
        </is>
      </c>
      <c r="D29" s="58" t="inlineStr">
        <is>
          <t>FE defines the coefficient-estimation structure; Driscoll-Kraay and PCSE concern the variance-covariance/inference treatment. Verify technically what each covariance method handles and why DK is preferred for this highly unbalanced panel. Present DK as the main approach; do not run a main-table horse race against PCSE/plain FE.</t>
        </is>
      </c>
      <c r="E29" s="58" t="inlineStr">
        <is>
          <t>MR-16, MR-17, MR-23 / WP-07</t>
        </is>
      </c>
      <c r="F29" s="58" t="inlineStr">
        <is>
          <t>DK main; technical note required</t>
        </is>
      </c>
      <c r="G29" s="58" t="inlineStr">
        <is>
          <t>Document heteroskedasticity/serial/cross-sectional-dependence treatment precisely with a standard econometrics reference; keep PCSE/internal alternatives appendix-only if retained.</t>
        </is>
      </c>
    </row>
    <row r="30" ht="72" customHeight="1" s="40">
      <c r="A30" s="57" t="inlineStr">
        <is>
          <t>MG-27</t>
        </is>
      </c>
      <c r="B30" s="58" t="inlineStr">
        <is>
          <t>Zoom meeting, 2-Oct-2026</t>
        </is>
      </c>
      <c r="C30" s="58" t="inlineStr">
        <is>
          <t>Ratings / sector request</t>
        </is>
      </c>
      <c r="D30" s="58" t="inlineStr">
        <is>
          <t>Do not turn the thesis into a rating study. Ratings are slower-moving and may lag spread information. Prepare a compact descriptive table/column of long-term local-currency issuer ratings to answer the reviewer; do not assume all issuers are AA/AAA. Additional rating/sector/issuer/bond regressions are optional and only if powered.</t>
        </is>
      </c>
      <c r="E30" s="58" t="inlineStr">
        <is>
          <t>MR-06, MR-07 / WP-05</t>
        </is>
      </c>
      <c r="F30" s="58" t="inlineStr">
        <is>
          <t>Minimum response narrowed</t>
        </is>
      </c>
      <c r="G30" s="58" t="inlineStr">
        <is>
          <t>Retrieve actual local-currency ratings with source/date and distinctions; use them in the response/defense. Do not delay the core regression package for a large heterogeneity battery.</t>
        </is>
      </c>
    </row>
    <row r="31" ht="72" customHeight="1" s="40">
      <c r="A31" s="57" t="inlineStr">
        <is>
          <t>MG-28</t>
        </is>
      </c>
      <c r="B31" s="58" t="inlineStr">
        <is>
          <t>Zoom meeting, 2-Oct-2026</t>
        </is>
      </c>
      <c r="C31" s="58" t="inlineStr">
        <is>
          <t>Stale quotes, fill-forward and BVAL</t>
        </is>
      </c>
      <c r="D31" s="58" t="inlineStr">
        <is>
          <t>Before freezing the final econometric panel, try rebuilding the corrected baseline without carrying the previous quote forward when the current month is missing. If no-fill coverage is impractical, explain the liquidity/data constraint and choose/document the last-observed-quote convention explicitly. Thiago described excluding Bloomberg BVAL/Bival indicative/model marks; document that source rule before final estimation.</t>
        </is>
      </c>
      <c r="E31" s="58" t="inlineStr">
        <is>
          <t>MR-25 / WP-09</t>
        </is>
      </c>
      <c r="F31" s="58" t="inlineStr">
        <is>
          <t>Pre-freeze data-treatment decision</t>
        </is>
      </c>
      <c r="G31" s="58" t="inlineStr">
        <is>
          <t>Resolve the baseline missing-price/source rule before panel freeze; preserve the alternative as sensitivity if useful.</t>
        </is>
      </c>
    </row>
    <row r="32" ht="72" customHeight="1" s="40">
      <c r="A32" s="57" t="inlineStr">
        <is>
          <t>MG-29</t>
        </is>
      </c>
      <c r="B32" s="58" t="inlineStr">
        <is>
          <t>Zoom meeting, 2-Oct-2026</t>
        </is>
      </c>
      <c r="C32" s="58" t="inlineStr">
        <is>
          <t>Delivery and presentation sequence</t>
        </is>
      </c>
      <c r="D32" s="58" t="inlineStr">
        <is>
          <t>Finish explanatory-variable audits first, then rerun the corrected models and robustness checks. Send the new estimates and an updated presentation by 10-Oct-2026. Review results together during the week of 13-Oct. Make the presentation more visual and parsimonious, with results given adequate space and dense methodology/literature reduced or moved to appendix.</t>
        </is>
      </c>
      <c r="E32" s="58" t="inlineStr">
        <is>
          <t>MR-18, MR-24, MR-30 / WP-08, WP-12, WP-16</t>
        </is>
      </c>
      <c r="F32" s="58" t="inlineStr">
        <is>
          <t>Updated milestone</t>
        </is>
      </c>
      <c r="G32" s="58" t="inlineStr">
        <is>
          <t>Use 10-Oct as the working empirical/deck target; revise interpretation, abstract and final presentation after seeing the new results.</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FF0F6B78"/>
    <outlinePr summaryBelow="1" summaryRight="1"/>
    <pageSetUpPr/>
  </sheetPr>
  <dimension ref="A1:G19"/>
  <sheetViews>
    <sheetView showGridLines="0" workbookViewId="0">
      <selection activeCell="A1" sqref="A1"/>
    </sheetView>
  </sheetViews>
  <sheetFormatPr baseColWidth="8" defaultRowHeight="14.5"/>
  <cols>
    <col width="14" customWidth="1" style="40" min="1" max="1"/>
    <col width="22" customWidth="1" style="40" min="2" max="2"/>
    <col width="36" customWidth="1" style="40" min="3" max="3"/>
    <col width="62" customWidth="1" style="40" min="4" max="4"/>
    <col width="30" customWidth="1" style="40" min="5" max="5"/>
    <col width="62" customWidth="1" style="40" min="6" max="6"/>
    <col width="48" customWidth="1" style="40" min="7" max="7"/>
  </cols>
  <sheetData>
    <row r="1" ht="26" customHeight="1" s="40">
      <c r="A1" s="45" t="inlineStr">
        <is>
          <t>Overlap Map</t>
        </is>
      </c>
    </row>
    <row r="2" ht="34" customHeight="1" s="40">
      <c r="A2" s="48" t="inlineStr">
        <is>
          <t>Shows where jurors raise the same underlying problem and defines one unified resolution to prevent duplicate work.</t>
        </is>
      </c>
    </row>
    <row r="3" ht="34" customHeight="1" s="40">
      <c r="A3" s="3" t="inlineStr">
        <is>
          <t>Overlap group</t>
        </is>
      </c>
      <c r="B3" s="3" t="inlineStr">
        <is>
          <t>Cross-juror overlap?</t>
        </is>
      </c>
      <c r="C3" s="3" t="inlineStr">
        <is>
          <t>Theme</t>
        </is>
      </c>
      <c r="D3" s="3" t="inlineStr">
        <is>
          <t>What the reports/director say</t>
        </is>
      </c>
      <c r="E3" s="3" t="inlineStr">
        <is>
          <t>Master issue IDs</t>
        </is>
      </c>
      <c r="F3" s="3" t="inlineStr">
        <is>
          <t>Unified resolution</t>
        </is>
      </c>
      <c r="G3" s="3" t="inlineStr">
        <is>
          <t>Duplication-control note</t>
        </is>
      </c>
    </row>
    <row r="4" ht="66" customHeight="1" s="40">
      <c r="A4" s="4" t="inlineStr">
        <is>
          <t>OG-01</t>
        </is>
      </c>
      <c r="B4" s="4" t="inlineStr">
        <is>
          <t>Yes</t>
        </is>
      </c>
      <c r="C4" s="4" t="inlineStr">
        <is>
          <t>Sovereign measure construction, sovereign ceiling and interpretation</t>
        </is>
      </c>
      <c r="D4" s="4" t="inlineStr">
        <is>
          <t>Ailin questions the shared benchmark; Maximo shows the algebra; Daniel asks for a better negative-sign explanation. Martin clarified that Sovereign Risk (BRL) is a government-minus-local-reference spread, not a CDS, and that the preferred model keeps Corporate Spread and Sovereign Risk separate to estimate transmission. The final implementation/documentation now distinguishes the IPCA-real corporate benchmark from the nominal DI sovereign benchmark rather than asserting an identical curve.</t>
        </is>
      </c>
      <c r="E4" s="4" t="inlineStr">
        <is>
          <t>MR-01, MR-02</t>
        </is>
      </c>
      <c r="F4" s="4" t="inlineStr">
        <is>
          <t>Upstream sovereign construction closed 29-Sep-2026: nominal formula, same-date exact-tenor DI matching, source hierarchy and geometric spread validated; sovereign_spread_brl terminology adopted and CDS language removed. Panel-field reconciliation closed 4-Oct-2026: legacy synthetic_cds_brl is not equivalent and must be replaced in the controlled rebuild. Final coefficient refresh remains downstream of the remaining pre-freeze decisions.</t>
        </is>
      </c>
      <c r="G4" s="4" t="inlineStr">
        <is>
          <t>Do not create a new CDS-like proxy. Do not reopen WP-02 when final regressions are rerun; only refresh coefficients/interpretation using the frozen explanatory-variable set.</t>
        </is>
      </c>
    </row>
    <row r="5" ht="66" customHeight="1" s="40">
      <c r="A5" s="4" t="inlineStr">
        <is>
          <t>OG-02</t>
        </is>
      </c>
      <c r="B5" s="4" t="inlineStr">
        <is>
          <t>No - Ailin</t>
        </is>
      </c>
      <c r="C5" s="4" t="inlineStr">
        <is>
          <t>Spread construction and real-curve exposure</t>
        </is>
      </c>
      <c r="D5" s="4" t="inlineStr">
        <is>
          <t>Arithmetic spread, implicit beta=1, missing real-rate factors and full Fama-MacBeth ideal.</t>
        </is>
      </c>
      <c r="E5" s="4" t="inlineStr">
        <is>
          <t>MR-03, MR-04, MR-05</t>
        </is>
      </c>
      <c r="F5" s="4" t="inlineStr">
        <is>
          <t>Recalculate spreads; justify baseline SELIC non-inclusion; if useful, run only the two scoped SELIC 3M Forward referee checks; use bounded real-curve diagnostics; leave Fama-MacBeth as future research.</t>
        </is>
      </c>
      <c r="G5" s="4" t="inlineStr">
        <is>
          <t>MR-03 precedes every re-estimation; SELIC 3M Forward is diagnostic only, not a baseline redesign.</t>
        </is>
      </c>
    </row>
    <row r="6" ht="66" customHeight="1" s="40">
      <c r="A6" s="4" t="inlineStr">
        <is>
          <t>OG-03</t>
        </is>
      </c>
      <c r="B6" s="4" t="inlineStr">
        <is>
          <t>Yes</t>
        </is>
      </c>
      <c r="C6" s="4" t="inlineStr">
        <is>
          <t>Heterogeneous sovereign transmission and ratings</t>
        </is>
      </c>
      <c r="D6" s="4" t="inlineStr">
        <is>
          <t>Ailin/Maximo/Daniel criticize one average coefficient followed by heterogeneous explanations.</t>
        </is>
      </c>
      <c r="E6" s="4" t="inlineStr">
        <is>
          <t>MR-06, MR-07, MR-08</t>
        </is>
      </c>
      <c r="F6" s="4" t="inlineStr">
        <is>
          <t>Use parsimonious rating and sector groups; issuer/bond slopes only where powered; events optional.</t>
        </is>
      </c>
      <c r="G6" s="4" t="inlineStr">
        <is>
          <t>One grouped table can answer multiple comments.</t>
        </is>
      </c>
    </row>
    <row r="7" ht="66" customHeight="1" s="40">
      <c r="A7" s="4" t="inlineStr">
        <is>
          <t>OG-04</t>
        </is>
      </c>
      <c r="B7" s="4" t="inlineStr">
        <is>
          <t>Yes</t>
        </is>
      </c>
      <c r="C7" s="4" t="inlineStr">
        <is>
          <t>VIX and global-risk proxy</t>
        </is>
      </c>
      <c r="D7" s="4" t="inlineStr">
        <is>
          <t>Both main jurors question the proxy; Daniel asks for direct hypothesis/sign interpretation.</t>
        </is>
      </c>
      <c r="E7" s="4" t="inlineStr">
        <is>
          <t>MR-09, MR-10</t>
        </is>
      </c>
      <c r="F7" s="4" t="inlineStr">
        <is>
          <t>Closed proxy/data-definition portion: retain VIX as an S&amp;P 500 implied-volatility / global-financial-stress proxy, not pure risk aversion; large PCA rebuild rejected. VIX data mapping/scaling and the companion Fed 3M Forward control are fully audited. Post-freeze correlations/sequential DK and final VIX sign interpretation are handled under MR-18/MR-19.</t>
        </is>
      </c>
      <c r="G7" s="4" t="inlineStr">
        <is>
          <t>Do not reopen MR-09 during the final rerun; use MR-18 for correlations/coefficient movement and MR-19 for the final hypothesis/sign narrative.</t>
        </is>
      </c>
    </row>
    <row r="8" ht="66" customHeight="1" s="40">
      <c r="A8" s="4" t="inlineStr">
        <is>
          <t>OG-05</t>
        </is>
      </c>
      <c r="B8" s="4" t="inlineStr">
        <is>
          <t>Ailin + Daniel</t>
        </is>
      </c>
      <c r="C8" s="4" t="inlineStr">
        <is>
          <t>Asset-pricing and literature bridge</t>
        </is>
      </c>
      <c r="D8" s="4" t="inlineStr">
        <is>
          <t>Ailin asks for factor/stale-price literature; Daniel asks for a more critical review.</t>
        </is>
      </c>
      <c r="E8" s="4" t="inlineStr">
        <is>
          <t>MR-11</t>
        </is>
      </c>
      <c r="F8" s="4" t="inlineStr">
        <is>
          <t>Add concise, purpose-driven literature tied to actual tests and closest studies.</t>
        </is>
      </c>
      <c r="G8" s="4" t="inlineStr">
        <is>
          <t>Do not turn the revision into a theory survey.</t>
        </is>
      </c>
    </row>
    <row r="9" ht="66" customHeight="1" s="40">
      <c r="A9" s="4" t="inlineStr">
        <is>
          <t>OG-06</t>
        </is>
      </c>
      <c r="B9" s="4" t="inlineStr">
        <is>
          <t>Maximo + Daniel</t>
        </is>
      </c>
      <c r="C9" s="4" t="inlineStr">
        <is>
          <t>Causality versus association</t>
        </is>
      </c>
      <c r="D9" s="4" t="inlineStr">
        <is>
          <t>Both reports flag causal overstatement.</t>
        </is>
      </c>
      <c r="E9" s="4" t="inlineStr">
        <is>
          <t>MR-12</t>
        </is>
      </c>
      <c r="F9" s="4" t="inlineStr">
        <is>
          <t>Global wording audit after final results.</t>
        </is>
      </c>
      <c r="G9" s="4" t="inlineStr">
        <is>
          <t>Low effort, high credibility.</t>
        </is>
      </c>
    </row>
    <row r="10" ht="66" customHeight="1" s="40">
      <c r="A10" s="4" t="inlineStr">
        <is>
          <t>OG-07</t>
        </is>
      </c>
      <c r="B10" s="4" t="inlineStr">
        <is>
          <t>Maximo + Daniel</t>
        </is>
      </c>
      <c r="C10" s="4" t="inlineStr">
        <is>
          <t>Identifying variation and issue-size identification</t>
        </is>
      </c>
      <c r="D10" s="4" t="inlineStr">
        <is>
          <t>Monthly common factors, unbalanced bond histories and possible time-invariant issue size.</t>
        </is>
      </c>
      <c r="E10" s="4" t="inlineStr">
        <is>
          <t>MR-13, MR-14, MR-15</t>
        </is>
      </c>
      <c r="F10" s="4" t="inlineStr">
        <is>
          <t>WP-03/MR-14 closed 30-Sep-2026: relative issue size reconstructed and shown to vary within 98/103 bonds; units/timing/FE interpretation documented. Remaining MR-13/MR-15 work is to report panel dimensions/coverage and state FE limits in WP-10.</t>
        </is>
      </c>
      <c r="G10" s="4" t="inlineStr">
        <is>
          <t>Do not reopen the issue-size construction audit in WP-10; use the completed WP-03 evidence and focus WP-10 on broader identifying variation and panel imbalance.</t>
        </is>
      </c>
    </row>
    <row r="11" ht="66" customHeight="1" s="40">
      <c r="A11" s="4" t="inlineStr">
        <is>
          <t>OG-08</t>
        </is>
      </c>
      <c r="B11" s="4" t="inlineStr">
        <is>
          <t>Cross-juror synthesis</t>
        </is>
      </c>
      <c r="C11" s="4" t="inlineStr">
        <is>
          <t>Estimator, diagnostics, sequential specifications and final significance</t>
        </is>
      </c>
      <c r="D11" s="4" t="inlineStr">
        <is>
          <t>Maximo provides the detailed DK/PCSE critique; Daniel asks for estimator-problem visibility; Martin specifies the exact 25-Sep one-table output.</t>
        </is>
      </c>
      <c r="E11" s="4" t="inlineStr">
        <is>
          <t>MR-16, MR-17, MR-18, MR-19</t>
        </is>
      </c>
      <c r="F11" s="4" t="inlineStr">
        <is>
          <t>Use one FE-DK table only, show diagnostics, discard PCSE/plain FE columns, use nominal FED3M, run the specified sovereign/macro and FX variants, then rewrite results.</t>
        </is>
      </c>
      <c r="G11" s="4" t="inlineStr">
        <is>
          <t>Do this once after the spread is frozen; confirm the two source-template ambiguities before coding.</t>
        </is>
      </c>
    </row>
    <row r="12" ht="66" customHeight="1" s="40">
      <c r="A12" s="4" t="inlineStr">
        <is>
          <t>OG-09</t>
        </is>
      </c>
      <c r="B12" s="4" t="inlineStr">
        <is>
          <t>Maximo + Daniel</t>
        </is>
      </c>
      <c r="C12" s="4" t="inlineStr">
        <is>
          <t>Persistence, levels and citation support</t>
        </is>
      </c>
      <c r="D12" s="4" t="inlineStr">
        <is>
          <t>Questions on stationarity/dynamics plus inaccurate citation use.</t>
        </is>
      </c>
      <c r="E12" s="4" t="inlineStr">
        <is>
          <t>MR-20, MR-21</t>
        </is>
      </c>
      <c r="F12" s="4" t="inlineStr">
        <is>
          <t>Correct the citation; provide a bounded static-model response; no dynamic redesign.</t>
        </is>
      </c>
      <c r="G12" s="4" t="inlineStr">
        <is>
          <t>Separate the valid citation fix from the non-endorsed extension.</t>
        </is>
      </c>
    </row>
    <row r="13" ht="66" customHeight="1" s="40">
      <c r="A13" s="4" t="inlineStr">
        <is>
          <t>OG-10</t>
        </is>
      </c>
      <c r="B13" s="4" t="inlineStr">
        <is>
          <t>Maximo; reinforced by Daniel sensitivity</t>
        </is>
      </c>
      <c r="C13" s="4" t="inlineStr">
        <is>
          <t>Regression-table accuracy and completeness</t>
        </is>
      </c>
      <c r="D13" s="4" t="inlineStr">
        <is>
          <t>Significance mismatch, PCSE claim and missing SE/N.</t>
        </is>
      </c>
      <c r="E13" s="4" t="inlineStr">
        <is>
          <t>MR-22, MR-23, MR-24</t>
        </is>
      </c>
      <c r="F13" s="4" t="inlineStr">
        <is>
          <t>One final consolidated FE-DK table with SE/N/panel dimensions, within R2, rho, DK metadata and a table-to-text QA pass.</t>
        </is>
      </c>
      <c r="G13" s="4" t="inlineStr">
        <is>
          <t>Do not repair old tables before final estimates.</t>
        </is>
      </c>
    </row>
    <row r="14" ht="66" customHeight="1" s="40">
      <c r="A14" s="4" t="inlineStr">
        <is>
          <t>OG-11</t>
        </is>
      </c>
      <c r="B14" s="4" t="inlineStr">
        <is>
          <t>Yes</t>
        </is>
      </c>
      <c r="C14" s="4" t="inlineStr">
        <is>
          <t>Untested narratives, Brazil mechanisms and final contribution</t>
        </is>
      </c>
      <c r="D14" s="4" t="inlineStr">
        <is>
          <t>Ailin emphasizes stale pricing/Brazil institutions; Maximo demands tests; Daniel asks for sign and hypothesis-result clarity.</t>
        </is>
      </c>
      <c r="E14" s="4" t="inlineStr">
        <is>
          <t>MR-25, MR-26, MR-30</t>
        </is>
      </c>
      <c r="F14" s="4" t="inlineStr">
        <is>
          <t>Test what is feasible, label mechanisms, and rewrite contribution around final evidence.</t>
        </is>
      </c>
      <c r="G14" s="4" t="inlineStr">
        <is>
          <t>One integrated final narrative addresses all three.</t>
        </is>
      </c>
    </row>
    <row r="15" ht="66" customHeight="1" s="40">
      <c r="A15" s="4" t="inlineStr">
        <is>
          <t>OG-12</t>
        </is>
      </c>
      <c r="B15" s="4" t="inlineStr">
        <is>
          <t>Ailin</t>
        </is>
      </c>
      <c r="C15" s="4" t="inlineStr">
        <is>
          <t>Reproducibility and provenance</t>
        </is>
      </c>
      <c r="D15" s="4" t="inlineStr">
        <is>
          <t>Complete pipeline and distinction between original sources and Bloomberg access.</t>
        </is>
      </c>
      <c r="E15" s="4" t="inlineStr">
        <is>
          <t>MR-27, MR-28</t>
        </is>
      </c>
      <c r="F15" s="4" t="inlineStr">
        <is>
          <t>Build one replication package and data dictionary.</t>
        </is>
      </c>
      <c r="G15" s="4" t="inlineStr">
        <is>
          <t>Submission deliverable, not just prose.</t>
        </is>
      </c>
    </row>
    <row r="16" ht="66" customHeight="1" s="40">
      <c r="A16" s="4" t="inlineStr">
        <is>
          <t>OG-13</t>
        </is>
      </c>
      <c r="B16" s="4" t="inlineStr">
        <is>
          <t>Ailin</t>
        </is>
      </c>
      <c r="C16" s="4" t="inlineStr">
        <is>
          <t>Corporate versus sovereign breakevens</t>
        </is>
      </c>
      <c r="D16" s="4" t="inlineStr">
        <is>
          <t>Large new curve project.</t>
        </is>
      </c>
      <c r="E16" s="4" t="inlineStr">
        <is>
          <t>MR-29</t>
        </is>
      </c>
      <c r="F16" s="4" t="inlineStr">
        <is>
          <t>Future research only.</t>
        </is>
      </c>
      <c r="G16" s="4" t="inlineStr">
        <is>
          <t>Do not duplicate the core sovereign correction.</t>
        </is>
      </c>
    </row>
    <row r="17" ht="66" customHeight="1" s="40">
      <c r="A17" s="4" t="inlineStr">
        <is>
          <t>OG-14</t>
        </is>
      </c>
      <c r="B17" s="4" t="inlineStr">
        <is>
          <t>Daniel synthesis</t>
        </is>
      </c>
      <c r="C17" s="4" t="inlineStr">
        <is>
          <t>Research gap, central question, theory-to-proxy and hypothesis architecture</t>
        </is>
      </c>
      <c r="D17" s="4" t="inlineStr">
        <is>
          <t>Daniel asks for demonstrated originality and a manageable hypothesis structure.</t>
        </is>
      </c>
      <c r="E17" s="4" t="inlineStr">
        <is>
          <t>MR-31, MR-32; linked MR-30</t>
        </is>
      </c>
      <c r="F17" s="4" t="inlineStr">
        <is>
          <t>Selective exposition rewrite after empirical freeze; one main question, closest-study comparison and hypothesis scorecard.</t>
        </is>
      </c>
      <c r="G17" s="4" t="inlineStr">
        <is>
          <t>Secondary to Maximo-driven measurement/inference work.</t>
        </is>
      </c>
    </row>
    <row r="18" ht="66" customHeight="1" s="40">
      <c r="A18" s="4" t="inlineStr">
        <is>
          <t>OG-15</t>
        </is>
      </c>
      <c r="B18" s="4" t="inlineStr">
        <is>
          <t>Daniel</t>
        </is>
      </c>
      <c r="C18" s="4" t="inlineStr">
        <is>
          <t>Academic style and terminology consistency</t>
        </is>
      </c>
      <c r="D18" s="4" t="inlineStr">
        <is>
          <t>Final language, econometric precision and multilingual consistency.</t>
        </is>
      </c>
      <c r="E18" s="4" t="inlineStr">
        <is>
          <t>MR-33</t>
        </is>
      </c>
      <c r="F18" s="4" t="inlineStr">
        <is>
          <t>One controlled final copy-edit.</t>
        </is>
      </c>
      <c r="G18" s="4" t="inlineStr">
        <is>
          <t>Do not copy-edit unstable result prose twice.</t>
        </is>
      </c>
    </row>
    <row r="19" ht="66" customHeight="1" s="40">
      <c r="A19" s="4" t="inlineStr">
        <is>
          <t>OG-16</t>
        </is>
      </c>
      <c r="B19" s="4" t="inlineStr">
        <is>
          <t>Daniel; complements Ailin</t>
        </is>
      </c>
      <c r="C19" s="4" t="inlineStr">
        <is>
          <t>Critical and recent comparable literature</t>
        </is>
      </c>
      <c r="D19" s="4" t="inlineStr">
        <is>
          <t>Bibliometrics do not replace direct comparison with relevant empirical work.</t>
        </is>
      </c>
      <c r="E19" s="4" t="inlineStr">
        <is>
          <t>MR-34; linked MR-11 and MR-31</t>
        </is>
      </c>
      <c r="F19" s="4" t="inlineStr">
        <is>
          <t>Make minor, targeted bibliography corrections and a compact closest-study comparison.</t>
        </is>
      </c>
      <c r="G19" s="4" t="inlineStr">
        <is>
          <t>Keep additions purpose-driven and bounded.</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rgb="FF0F6B78"/>
    <outlinePr summaryBelow="1" summaryRight="1"/>
    <pageSetUpPr/>
  </sheetPr>
  <dimension ref="A1:G10"/>
  <sheetViews>
    <sheetView showGridLines="0" workbookViewId="0">
      <selection activeCell="A1" sqref="A1"/>
    </sheetView>
  </sheetViews>
  <sheetFormatPr baseColWidth="8" defaultRowHeight="14.5"/>
  <cols>
    <col width="9" customWidth="1" style="40" min="1" max="1"/>
    <col width="31" customWidth="1" style="40" min="2" max="2"/>
    <col width="42" customWidth="1" style="40" min="3" max="3"/>
    <col width="68" customWidth="1" style="40" min="4" max="4"/>
    <col width="46" customWidth="1" style="40" min="5" max="5"/>
    <col width="31" customWidth="1" style="40" min="6" max="6"/>
    <col width="58" customWidth="1" style="40" min="7" max="7"/>
  </cols>
  <sheetData>
    <row r="1" ht="26" customHeight="1" s="40">
      <c r="A1" s="45" t="inlineStr">
        <is>
          <t>Action Sequence</t>
        </is>
      </c>
    </row>
    <row r="2" ht="68" customHeight="1" s="40">
      <c r="A2" s="48" t="inlineStr">
        <is>
          <t>Dependency-based workflow updated 9-Oct-2026 after the Econometric Panel Data Freeze Gate PASSED. Order now: frozen 4,648-row reproducible panel -&gt; CURRENT bond-FE / Driscoll-Kraay inference reset and core table -&gt; targeted robustness/sensitivity -&gt; interpret/rewrite -&gt; presentation/replication. WP-02 source/formula remains closed and WP-06 has resolved the downstream sovereign mapping plus public-debt L2 timing. Reproducibility commit 23435a4 records the builder and candidate panel.</t>
        </is>
      </c>
    </row>
    <row r="3" ht="34" customHeight="1" s="40">
      <c r="A3" s="3" t="inlineStr">
        <is>
          <t>Order</t>
        </is>
      </c>
      <c r="B3" s="3" t="inlineStr">
        <is>
          <t>Phase</t>
        </is>
      </c>
      <c r="C3" s="3" t="inlineStr">
        <is>
          <t>Master issue IDs</t>
        </is>
      </c>
      <c r="D3" s="3" t="inlineStr">
        <is>
          <t>Core tasks</t>
        </is>
      </c>
      <c r="E3" s="3" t="inlineStr">
        <is>
          <t>Deliverable</t>
        </is>
      </c>
      <c r="F3" s="3" t="inlineStr">
        <is>
          <t>Dependency</t>
        </is>
      </c>
      <c r="G3" s="3" t="inlineStr">
        <is>
          <t>Gate / decision rule</t>
        </is>
      </c>
    </row>
    <row r="4" ht="72" customHeight="1" s="40">
      <c r="A4" s="4" t="n">
        <v>0</v>
      </c>
      <c r="B4" s="4" t="inlineStr">
        <is>
          <t>Governance and baseline</t>
        </is>
      </c>
      <c r="C4" s="4" t="inlineStr">
        <is>
          <t>MR-27, MR-30</t>
        </is>
      </c>
      <c r="D4" s="4" t="inlineStr">
        <is>
          <t>Freeze the submitted thesis, code, data and outputs; maintain a response memo keyed to master IDs.</t>
        </is>
      </c>
      <c r="E4" s="4" t="inlineStr">
        <is>
          <t>Baseline archive + response memo shell</t>
        </is>
      </c>
      <c r="F4" s="4" t="n"/>
      <c r="G4" s="4" t="inlineStr">
        <is>
          <t>Do not edit the only submitted copy.</t>
        </is>
      </c>
    </row>
    <row r="5" ht="72" customHeight="1" s="40">
      <c r="A5" s="4" t="n">
        <v>1</v>
      </c>
      <c r="B5" s="4" t="inlineStr">
        <is>
          <t>Data and measurement audit</t>
        </is>
      </c>
      <c r="C5" s="4" t="inlineStr">
        <is>
          <t>MR-01, MR-02, MR-03, MR-14, MR-28</t>
        </is>
      </c>
      <c r="D5" s="4" t="inlineStr">
        <is>
          <t>WP-01 corporate-spread measurement, WP-02 Sovereign Risk (BRL) formula/source, WP-03 relative issue-size identification and baseline explanatory-variable audits are closed. The reproducible builder has now implemented most panel fields. Do not manually patch the legacy XLSX. WP-02 remains closed, but WP-06 must still resolve how the canonical 582-observation nominal sovereign package can support the intended 2010-2025 corporate panel without invalid extrapolation/latest-curve logic.</t>
        </is>
      </c>
      <c r="E5" s="4" t="inlineStr">
        <is>
          <t>Verified corporate spread + frozen WP-02 sovereign definition + closed relative issue-size audit; sovereign full-panel mapping handled under WP-06</t>
        </is>
      </c>
      <c r="F5" s="4" t="inlineStr">
        <is>
          <t>Phase 0</t>
        </is>
      </c>
      <c r="G5" s="4" t="inlineStr">
        <is>
          <t>Measurement/source decisions remain frozen. New distinction: the 582/582 sovereign validation establishes arithmetic/source integrity for available observations, not full panel coverage. The reproducibility gate must solve that downstream mapping explicitly.</t>
        </is>
      </c>
    </row>
    <row r="6" ht="135" customHeight="1" s="40">
      <c r="A6" s="4" t="n">
        <v>2</v>
      </c>
      <c r="B6" s="4" t="inlineStr">
        <is>
          <t>Explanatory-variable audit and Econometric Panel Data Freeze Gate</t>
        </is>
      </c>
      <c r="C6" s="4" t="inlineStr">
        <is>
          <t>Data Freeze Gate PASSED; baseline explanatory-variable audits complete; MR-04 robustness parked until after core rerun</t>
        </is>
      </c>
      <c r="D6" s="4" t="inlineStr">
        <is>
          <t>COMPLETED. Reproducible construction replaces manual panel assembly: 4,648-row spine, corrected corporate spread, macro block, SGS 13762 uniform-L2 fiscal control, PIT accounting controls, relative issue size, BUS/252 maturity and frozen sovereign mapping. Candidate panel passes structural and variable-level reconciliation; legacy workbook remains archival/unchanged. Sovereign is populated contemporaneously from 2016 onward (3,918 rows) with 730 documented pre-2016 missing rows and no backward time extrapolation.</t>
        </is>
      </c>
      <c r="E6" s="4" t="inlineStr">
        <is>
          <t>Frozen panel_main_and_robustness_rebuilt.xlsx + reconciliation record + commit 23435a4</t>
        </is>
      </c>
      <c r="F6" s="4" t="inlineStr">
        <is>
          <t>Phase 1</t>
        </is>
      </c>
      <c r="G6" s="4" t="inlineStr">
        <is>
          <t>PASSED 9-Oct-2026. WP-07/WP-08 may now use the frozen rebuilt panel; do not silently revert to legacy definitions.</t>
        </is>
      </c>
    </row>
    <row r="7" ht="72" customHeight="1" s="40">
      <c r="A7" s="4" t="n">
        <v>3</v>
      </c>
      <c r="B7" s="4" t="inlineStr">
        <is>
          <t>Econometric reset - CURRENT</t>
        </is>
      </c>
      <c r="C7" s="4" t="inlineStr">
        <is>
          <t>MR-16, MR-17, MR-18, optional MR-20</t>
        </is>
      </c>
      <c r="D7" s="4" t="inlineStr">
        <is>
          <t>CURRENT after Data Freeze PASS: use one bond-FE table with Driscoll-Kraay covariance/standard errors as the main inference. Audit exact FE/DK/PCSE commands, lock DK lag/finite-sample choices and panel diagnostics, then run the four-model core grid on the frozen rebuilt panel. Plain-FE/PCSE comparison columns remain outside the main table. After the core rerun, execute Brazil 3M DI and other targeted robustness; alternate missing-price treatment remains sensitivity only.</t>
        </is>
      </c>
      <c r="E7" s="4" t="inlineStr">
        <is>
          <t>Single four-model DK table + agreed robustness/sensitivity package + diagnostics; target delivery to Martin 10-Oct-2026</t>
        </is>
      </c>
      <c r="F7" s="4" t="inlineStr">
        <is>
          <t>Phase 2</t>
        </is>
      </c>
      <c r="G7" s="4" t="inlineStr">
        <is>
          <t>Proceed now on the frozen panel. Confirm remaining NER/RER and stacking ambiguities, then execute the core DK table before optional robustness.</t>
        </is>
      </c>
    </row>
    <row r="8" ht="72" customHeight="1" s="40">
      <c r="A8" s="4" t="n">
        <v>4</v>
      </c>
      <c r="B8" s="4" t="inlineStr">
        <is>
          <t>Literature, methods and framing</t>
        </is>
      </c>
      <c r="C8" s="4" t="inlineStr">
        <is>
          <t>MR-11, MR-12, MR-13, MR-15, MR-21, MR-26, MR-31, MR-32, MR-34</t>
        </is>
      </c>
      <c r="D8" s="4" t="inlineStr">
        <is>
          <t>Rating evidence is already audited and frozen as descriptive-only; integrate the resulting coverage/table into the jury response/appendix. In parallel or after core estimates: clarify panel imbalance/identifying variation; document pricing/BVAL source semantics; correct causal/citation language and bounded literature/theory framing. Extra rating/sector/issuer/bond heterogeneity estimation remains optional only if powered.</t>
        </is>
      </c>
      <c r="E8" s="4" t="inlineStr">
        <is>
          <t>Revised Introduction and Chapters 3-4</t>
        </is>
      </c>
      <c r="F8" s="4" t="inlineStr">
        <is>
          <t>Can proceed partly in parallel; final wording after Phase 3</t>
        </is>
      </c>
      <c r="G8" s="4" t="inlineStr">
        <is>
          <t>Keep evidence separate from mechanisms; no theoretical redesign.</t>
        </is>
      </c>
    </row>
    <row r="9" ht="72" customHeight="1" s="40">
      <c r="A9" s="4" t="n">
        <v>5</v>
      </c>
      <c r="B9" s="4" t="inlineStr">
        <is>
          <t>Results and conclusion rewrite</t>
        </is>
      </c>
      <c r="C9" s="4" t="inlineStr">
        <is>
          <t>MR-19, MR-22, MR-24, MR-30, MR-33</t>
        </is>
      </c>
      <c r="D9" s="4" t="inlineStr">
        <is>
          <t>Rebuild tables; link every hypothesis to final results; explain counterintuitive signs; add scorecard and final QA.</t>
        </is>
      </c>
      <c r="E9" s="4" t="inlineStr">
        <is>
          <t>Revised Chapters 5-6, abstract/resumen and copy-edit</t>
        </is>
      </c>
      <c r="F9" s="4" t="inlineStr">
        <is>
          <t>Phases 3 and 4</t>
        </is>
      </c>
      <c r="G9" s="4" t="inlineStr">
        <is>
          <t>Run table-to-text, hypothesis-to-result and terminology checks.</t>
        </is>
      </c>
    </row>
    <row r="10" ht="72" customHeight="1" s="40">
      <c r="A10" s="4" t="n">
        <v>6</v>
      </c>
      <c r="B10" s="4" t="inlineStr">
        <is>
          <t>Replication, response and seminars</t>
        </is>
      </c>
      <c r="C10" s="4" t="inlineStr">
        <is>
          <t>MR-27, MR-30, MR-31, MR-32; response-only MR-05, MR-08, MR-10, MR-20, MR-29</t>
        </is>
      </c>
      <c r="D10" s="4" t="inlineStr">
        <is>
          <t>Clean-run the package; finalize the three-juror response memo; prepare the agreed DK table and a concise visual defense/Bordeaux/Geneva deck. First package to Martin by 10-Oct-2026; review in the week of 13-Oct, then refine presentation/abstract and final thesis narrative.</t>
        </is>
      </c>
      <c r="E10" s="4" t="inlineStr">
        <is>
          <t>Submission-ready thesis + package + response memo + agreed seminar table/deck + deadline checklist</t>
        </is>
      </c>
      <c r="F10" s="4" t="inlineStr">
        <is>
          <t>All prior phases</t>
        </is>
      </c>
      <c r="G10" s="4" t="inlineStr">
        <is>
          <t>Every comment has a change or reasoned non-change; deadlines and formal resolutions are confirmed.</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rgb="FF2F75B5"/>
    <outlinePr summaryBelow="1" summaryRight="1"/>
    <pageSetUpPr/>
  </sheetPr>
  <dimension ref="A1:G51"/>
  <sheetViews>
    <sheetView showGridLines="0" workbookViewId="0">
      <selection activeCell="A1" sqref="A1"/>
    </sheetView>
  </sheetViews>
  <sheetFormatPr baseColWidth="8" defaultRowHeight="14.5"/>
  <cols>
    <col width="31" customWidth="1" style="40" min="1" max="1"/>
    <col width="15" customWidth="1" style="40" min="2" max="5"/>
    <col width="20" customWidth="1" style="40" min="6" max="6"/>
    <col width="60" customWidth="1" style="40" min="7" max="7"/>
  </cols>
  <sheetData>
    <row r="1" ht="32" customHeight="1" s="40">
      <c r="A1" s="53" t="inlineStr">
        <is>
          <t>Paper/Seminar Estimation Plan - updated 9-Oct-2026 (Data Freeze passed; WP-07 core FE-DK active)</t>
        </is>
      </c>
    </row>
    <row r="2" ht="92" customHeight="1" s="40">
      <c r="A2" s="54" t="inlineStr">
        <is>
          <t>Source: Martin Grandes guidance through the 2-Oct-2026 Zoom meeting plus completed measurement/data audits and the reproducible panel freeze through 9-Oct. The Econometric Panel Data Freeze Gate has PASSED. Frozen estimation input: panel_main_and_robustness_rebuilt.xlsx, 4,648 rows x 19 columns, 103 bonds, 48 issuers, generated by scripts/build_econometrics_panel.py and committed under 23435a4. SGS 13762 uses uniform L2 timing. Sovereign Risk (BRL) keeps the closed WP-02 nominal LTN/NTN-F-vs-DI definition and a documented same-date panel mapping: 3,918 populated rows from 2016 onward, 730 intentional pre-2016 missing rows, no backward time extrapolation. Full reconciliation passed against the legacy panel. CURRENT: execute WP-07 — one bond-FE table with Driscoll-Kraay covariance/standard errors — then WP-08 targeted robustness. Ratings remain descriptive only.</t>
        </is>
      </c>
    </row>
    <row r="3">
      <c r="A3" s="26" t="n"/>
      <c r="B3" s="26" t="n"/>
      <c r="C3" s="26" t="n"/>
      <c r="D3" s="26" t="n"/>
      <c r="E3" s="26" t="n"/>
      <c r="F3" s="26" t="n"/>
      <c r="G3" s="26" t="n"/>
    </row>
    <row r="4" ht="24" customHeight="1" s="40">
      <c r="A4" s="52" t="inlineStr">
        <is>
          <t>Core four-model template (attachment transcribed exactly; implementation notes flag unresolved points)</t>
        </is>
      </c>
    </row>
    <row r="5" ht="36" customHeight="1" s="40">
      <c r="A5" s="27" t="inlineStr">
        <is>
          <t>Variable / statistic</t>
        </is>
      </c>
      <c r="B5" s="27" t="inlineStr">
        <is>
          <t>Model 1</t>
        </is>
      </c>
      <c r="C5" s="27" t="inlineStr">
        <is>
          <t>Model 2</t>
        </is>
      </c>
      <c r="D5" s="28" t="inlineStr">
        <is>
          <t>Model 3</t>
        </is>
      </c>
      <c r="E5" s="29" t="inlineStr">
        <is>
          <t>Model 4</t>
        </is>
      </c>
      <c r="F5" s="29" t="inlineStr">
        <is>
          <t>Decision</t>
        </is>
      </c>
      <c r="G5" s="29" t="inlineStr">
        <is>
          <t>Implementation note</t>
        </is>
      </c>
    </row>
    <row r="6" ht="34" customHeight="1" s="40">
      <c r="A6" s="30" t="inlineStr">
        <is>
          <t>Estimator</t>
        </is>
      </c>
      <c r="B6" s="30" t="inlineStr">
        <is>
          <t>FE-DK</t>
        </is>
      </c>
      <c r="C6" s="30" t="inlineStr">
        <is>
          <t>FE-DK</t>
        </is>
      </c>
      <c r="D6" s="31" t="inlineStr">
        <is>
          <t>FE-DK</t>
        </is>
      </c>
      <c r="E6" s="32" t="inlineStr">
        <is>
          <t>FE-DK</t>
        </is>
      </c>
      <c r="F6" s="32" t="inlineStr">
        <is>
          <t>Required</t>
        </is>
      </c>
      <c r="G6" s="32" t="inlineStr">
        <is>
          <t>Bond fixed effects determine the coefficient estimator; Driscoll-Kraay is the covariance/standard-error treatment used for main inference. 2-Oct guidance: document this distinction explicitly, including heteroskedasticity, serial correlation and cross-sectional dependence handling; PCSE/plain-FE alternatives are appendix/internal diagnostics only if retained.</t>
        </is>
      </c>
    </row>
    <row r="7" ht="54" customHeight="1" s="40">
      <c r="A7" s="30" t="inlineStr">
        <is>
          <t>VIX</t>
        </is>
      </c>
      <c r="B7" s="30" t="inlineStr">
        <is>
          <t>x</t>
        </is>
      </c>
      <c r="C7" s="30" t="inlineStr">
        <is>
          <t>x</t>
        </is>
      </c>
      <c r="D7" s="31" t="inlineStr">
        <is>
          <t>x</t>
        </is>
      </c>
      <c r="E7" s="32" t="inlineStr">
        <is>
          <t>x</t>
        </is>
      </c>
      <c r="F7" s="32" t="inlineStr">
        <is>
          <t>Core</t>
        </is>
      </c>
      <c r="G7" s="32" t="inlineStr">
        <is>
          <t>Pre-freeze MR-09/WP-06 audit passed: VIX Index source/ticker, 187/187 monthly history, month-end convention, 4,229/4,229 panel mapping, raw index-point scaling and economic label/H1 wording are validated. Keep VIX in all four core columns. Raw/partial correlations and final sign/H1 interpretation wait for post-freeze DK results.</t>
        </is>
      </c>
    </row>
    <row r="8" ht="46" customHeight="1" s="40">
      <c r="A8" s="30" t="inlineStr">
        <is>
          <t>FED3M Forward (nominal)</t>
        </is>
      </c>
      <c r="B8" s="30" t="inlineStr">
        <is>
          <t>x</t>
        </is>
      </c>
      <c r="C8" s="30" t="inlineStr">
        <is>
          <t>x</t>
        </is>
      </c>
      <c r="D8" s="31" t="inlineStr">
        <is>
          <t>x</t>
        </is>
      </c>
      <c r="E8" s="32" t="inlineStr">
        <is>
          <t>x</t>
        </is>
      </c>
      <c r="F8" s="32" t="inlineStr">
        <is>
          <t>Core</t>
        </is>
      </c>
      <c r="G8" s="32" t="inlineStr">
        <is>
          <t>PRE-FREEZE AUDIT PASSED. Baseline fed_3m_forward is Bloomberg USSOC Curncy / PX_LAST, the 3M USD OIS fixed rate. Native daily history and last-available month-end convention validated; 164/164 distinct panel months match exactly (0 mismatches; max abs diff 0.0). Baseline uses Bloomberg percentage-point values directly with no rescaling/log/standardization; D.fed_3m_forward exists only in the separate macro-differences robustness. Keep the thesis-facing label “Fed 3M Forward” for readability, but define it technically as the 3M USD OIS and state explicitly that it is forward-looking in economic content, not a forward-starting 3Mx3M rate. Keep the nominal market rate; do not reintroduce the old real construction.</t>
        </is>
      </c>
    </row>
    <row r="9" ht="44" customHeight="1" s="40">
      <c r="A9" s="33" t="inlineStr">
        <is>
          <t>FED3M Forward Real (old construction)</t>
        </is>
      </c>
      <c r="B9" s="33" t="inlineStr">
        <is>
          <t>-</t>
        </is>
      </c>
      <c r="C9" s="33" t="inlineStr">
        <is>
          <t>-</t>
        </is>
      </c>
      <c r="D9" s="34" t="inlineStr">
        <is>
          <t>-</t>
        </is>
      </c>
      <c r="E9" s="35" t="inlineStr">
        <is>
          <t>-</t>
        </is>
      </c>
      <c r="F9" s="35" t="inlineStr">
        <is>
          <t>Exclude</t>
        </is>
      </c>
      <c r="G9" s="35" t="inlineStr">
        <is>
          <t>Do not use: inflation adjustment was not horizon-consistent with the 3-month forward rate.</t>
        </is>
      </c>
    </row>
    <row r="10" ht="34" customHeight="1" s="40">
      <c r="A10" s="30" t="inlineStr">
        <is>
          <t>USD/BRL NER</t>
        </is>
      </c>
      <c r="B10" s="30" t="inlineStr">
        <is>
          <t>x</t>
        </is>
      </c>
      <c r="C10" s="30" t="n"/>
      <c r="D10" s="31" t="n"/>
      <c r="E10" s="32" t="n"/>
      <c r="F10" s="32" t="inlineStr">
        <is>
          <t>Attachment</t>
        </is>
      </c>
      <c r="G10" s="32" t="inlineStr">
        <is>
          <t>PRE-FREEZE AUDIT PASSED FOR CURRENT NOMINAL NER. Source workbook identifies USDBRL Curncy (BRL per USD); 187 uninterrupted monthly source observations from Jan-2010 to Jul-2025; all timestamps follow the last-weekday month-end convention; panel usd_brl maps exactly across 4,229 rows / 164 months with 0 blanks, 0 within-month conflicts, 0 missing source months and 0 mismatches. Baseline uses the level directly with no log/rescaling/standardization; D.usd_brl is macro-differences robustness only. Label as nominal USD/BRL (BRL per USD); an increase denotes BRL depreciation. Original Bloomberg formula/raw layer is not retained in the values-only workbook.</t>
        </is>
      </c>
    </row>
    <row r="11" ht="44" customHeight="1" s="40">
      <c r="A11" s="36" t="inlineStr">
        <is>
          <t>USD/BRL RER</t>
        </is>
      </c>
      <c r="B11" s="36" t="inlineStr">
        <is>
          <t>x</t>
        </is>
      </c>
      <c r="C11" s="36" t="inlineStr">
        <is>
          <t>x</t>
        </is>
      </c>
      <c r="D11" s="37" t="n"/>
      <c r="E11" s="38" t="inlineStr">
        <is>
          <t>x</t>
        </is>
      </c>
      <c r="F11" s="38" t="inlineStr">
        <is>
          <t>Confirm</t>
        </is>
      </c>
      <c r="G11" s="38" t="inlineStr">
        <is>
          <t>RER remains a separate construction from the audited nominal NER. If Martin's final specification replaces NER with RER, complete a separate six-step RER audit before the panel is frozen; do not infer RER validity from the nominal USD/BRL audit.</t>
        </is>
      </c>
    </row>
    <row r="12" ht="78" customHeight="1" s="40">
      <c r="A12" s="30" t="inlineStr">
        <is>
          <t>GDP growth (YoY)</t>
        </is>
      </c>
      <c r="B12" s="30" t="inlineStr">
        <is>
          <t>x</t>
        </is>
      </c>
      <c r="C12" s="30" t="inlineStr">
        <is>
          <t>x</t>
        </is>
      </c>
      <c r="D12" s="31" t="n"/>
      <c r="E12" s="32" t="inlineStr">
        <is>
          <t>x</t>
        </is>
      </c>
      <c r="F12" s="32" t="inlineStr">
        <is>
          <t>Attachment</t>
        </is>
      </c>
      <c r="G12" s="32" t="inlineStr">
        <is>
          <t>PRE-FREEZE AUDIT PASSED. Source workbook identifies Real GDP (yoy %) / BZGDYOY% Index; duplicate columns 7 and 17 are identical. Raw workbook stores quarterly values on quarter-end rows with zero placeholders between quarter ends; panel carries the latest quarterly value forward monthly. All 164 distinct panel months match the reconstructed source series exactly (0 mismatches; 0 within-month conflicts). Baseline uses native percentage-point units with no rescaling/log/standardization, and gdp_yoy remains in levels in the macro-differences robustness. Economic label: Brazil real GDP growth, year-on-year (%). Quarter-end reference-period alignment is validated; real-time release-vintage timing was not separately audited.</t>
        </is>
      </c>
    </row>
    <row r="13" ht="165" customHeight="1" s="40">
      <c r="A13" s="30" t="inlineStr">
        <is>
          <t>Public debt / GDP (BCB SGS 13762; replaces legacy debt_gdp/EHBBBR)</t>
        </is>
      </c>
      <c r="B13" s="30" t="inlineStr">
        <is>
          <t>x</t>
        </is>
      </c>
      <c r="C13" s="30" t="inlineStr">
        <is>
          <t>x</t>
        </is>
      </c>
      <c r="D13" s="31" t="n"/>
      <c r="E13" s="32" t="inlineStr">
        <is>
          <t>x</t>
        </is>
      </c>
      <c r="F13" s="32" t="inlineStr">
        <is>
          <t>Frozen - replace legacy EHBBBR with BCB SGS 13762 using uniform L2 in reproducible rebuild</t>
        </is>
      </c>
      <c r="G13" s="32" t="inlineStr">
        <is>
          <t>SPECIFICATION DECISION CLOSED 5-Oct-2026. The existing panel debt_gdp is Bloomberg EHBBBR Index / Brazil Budget Balance (% GDP), SA, quarterly: its source/mapping/scaling audit passed, but it is a fiscal-flow variable and does not match the thesis H8 / requested Public debt-GDP stock construct. Baseline replacement: official Banco Central do Brasil SGS 13762, “Dívida bruta do governo geral (% PIB) - Metodologia utilizada a partir de 2008”, monthly, native percentage points of GDP, BCB-DSTAT. Archived raw file: datos_y_modelos/db/brazil_macroeconomic_data/public_debt_gdp/sgs_13762_public_debt_gdp.csv; official source page: https://www3.bcb.gov.br/sgspub/consultarvalores/consultarValoresSeries.do?method=visualizarValores. Snapshot covers 2010-01 through 2026-08 and therefore all 164 panel months through 2025-06. Uniform L2 reference-month mapping selected as a conservative/reproducible timing convention: 0 missing across 164 months; L1-L2 corr 0.997613; mean abs difference 0.5295 pp; max 2.92 pp. Do not claim this reproduces the exact historical BCB publication-vintage calendar. Bloomberg AI cross-check reported WGPDCBRA Index as the closest Bloomberg alternative but not an exact monthly SGS feed; it is not selected. Final field name should be public_debt_gdp. No panel modification yet; implement only in the single controlled reproducible rebuild. 7-Oct-2026: FISCAL CONTROL — FROZEN. No conceptual reopening; implementation is pending only in the reproducible panel builder.</t>
        </is>
      </c>
    </row>
    <row r="14" ht="34" customHeight="1" s="40">
      <c r="A14" s="30" t="inlineStr">
        <is>
          <t>Sovereign Risk (BRL)</t>
        </is>
      </c>
      <c r="B14" s="30" t="inlineStr">
        <is>
          <t>x</t>
        </is>
      </c>
      <c r="C14" s="30" t="inlineStr">
        <is>
          <t>x</t>
        </is>
      </c>
      <c r="D14" s="31" t="inlineStr">
        <is>
          <t>x</t>
        </is>
      </c>
      <c r="E14" s="32" t="n"/>
      <c r="F14" s="32" t="inlineStr">
        <is>
          <t>Core - upstream validated; legacy panel field failed reconciliation; replacement required pre-freeze</t>
        </is>
      </c>
      <c r="G14" s="32" t="inlineStr">
        <is>
          <t>WP-02 source/formula audit remains the validated Sovereign Risk (BRL) construction: sovereign_spread_brl = nominal LTN/NTN-F government YTM versus same-date DI reference yield at exact BUS/252 tenor, geometric bps; 252 LTN + 330 NTN-F = 582/582 reproduced. 4-Oct DATA-FREEZE RECONCILIATION CLOSED: current panel/Stata synthetic_cds_brl is not equivalent. Legacy surface lineage pools nominal LTN/NTN-F with 1,107 NTN-B real-curve spreads, panel injection uses only the latest curve (archived 2025-08-04, after sample end), and current values are essentially a deterministic function of residual maturity. Reproduction error is about 0.000104 bp max; 6-month is parsed as 6.0 years and tau2 is inactive in the simplified fit. Units remain bps, but date/transformation mapping is invalid. Final rebuild must replace the legacy field with validated sovereign_spread_brl; do not interpret legacy coefficients as the corrected sovereign result. Corporate IPCA-real benchmark remains distinct.</t>
        </is>
      </c>
    </row>
    <row r="15" ht="34" customHeight="1" s="40">
      <c r="A15" s="30" t="inlineStr">
        <is>
          <t>Cash flow / assets</t>
        </is>
      </c>
      <c r="B15" s="30" t="inlineStr">
        <is>
          <t>x</t>
        </is>
      </c>
      <c r="C15" s="30" t="inlineStr">
        <is>
          <t>x</t>
        </is>
      </c>
      <c r="D15" s="31" t="inlineStr">
        <is>
          <t>x</t>
        </is>
      </c>
      <c r="E15" s="32" t="inlineStr">
        <is>
          <t>x</t>
        </is>
      </c>
      <c r="F15" s="32" t="inlineStr">
        <is>
          <t>Retain - audited; PIT timing rule CLOSED; rebuild pending</t>
        </is>
      </c>
      <c r="G15" s="32" t="inlineStr">
        <is>
          <t>PRE-FREEZE SIX-STEP AUDIT PASSED FOR LINEAGE/DATA AND TIMING DECISION CLOSED. Exact source fields are issuer-level Bloomberg Fundamentals CF_CASH_FROM_OPER and BS_TOT_ASSET; bond-to-issuer mapping uses ULT_PARENT_TICKER_EXCHANGE. The legacy panel assigns each quarter's eventual current-restated ratio to all three months of the same calendar quarter, which is not observation-date defensible. Final rule for the controlled rebuild: query Bloomberg historical point-in-time quarterly fundamentals as of each exact obs_date and select the most recent fiscal quarter jointly complete across CF_CASH_FROM_OPER, BS_TOT_ASSET, SHORT_AND_LONG_TERM_DEBT and EBITDA; if the newest reported quarter is incomplete, step back one quarter. Compute cf_cash_oper_to_tot_asset from the selected same-period PIT CFO/assets components and retain the validated x1000 scaling, i.e. per mille (‰). Exact-panel test across the shared accounting rule resolves 1,959/1,959 issuer-date pairs; 14 pairs require one-quarter fallback and 0 are unresolved. At bond level the fallback affects 29/4,229 rows across 12 bonds; no sample loss. Do not edit the legacy panel ad hoc; implement during the one reproducible controlled rebuild and archive/reuse the PIT extraction/provenance.</t>
        </is>
      </c>
    </row>
    <row r="16" ht="34" customHeight="1" s="40">
      <c r="A16" s="30" t="inlineStr">
        <is>
          <t>Relative issue size (AMT_ISSUED / BS_TOT_ASSET, ‰)</t>
        </is>
      </c>
      <c r="B16" s="30" t="inlineStr">
        <is>
          <t>x</t>
        </is>
      </c>
      <c r="C16" s="30" t="inlineStr">
        <is>
          <t>x</t>
        </is>
      </c>
      <c r="D16" s="31" t="inlineStr">
        <is>
          <t>x</t>
        </is>
      </c>
      <c r="E16" s="32" t="inlineStr">
        <is>
          <t>x</t>
        </is>
      </c>
      <c r="F16" s="32" t="inlineStr">
        <is>
          <t>Retain - audited</t>
        </is>
      </c>
      <c r="G16" s="32" t="inlineStr">
        <is>
          <t>Closed WP-03 and reaffirmed 2-Oct. AMT_ISSUED is fixed but quarterly BS_TOT_ASSET varies, so the ratio is identified in bond FE. Interpret as relative issue size / primary issuance-liquidity. Secondary turnover/amount-outstanding would be conceptually cleaner for market liquidity but is likely sparse/zero-heavy in this market. Q-1 denominator remains timing robustness.</t>
        </is>
      </c>
    </row>
    <row r="17" ht="34" customHeight="1" s="40">
      <c r="A17" s="30" t="inlineStr">
        <is>
          <t>Financial leverage (short- and long-term debt / EBITDA, x)</t>
        </is>
      </c>
      <c r="B17" s="30" t="inlineStr">
        <is>
          <t>x</t>
        </is>
      </c>
      <c r="C17" s="30" t="inlineStr">
        <is>
          <t>x</t>
        </is>
      </c>
      <c r="D17" s="31" t="inlineStr">
        <is>
          <t>x</t>
        </is>
      </c>
      <c r="E17" s="32" t="inlineStr">
        <is>
          <t>x</t>
        </is>
      </c>
      <c r="F17" s="32" t="inlineStr">
        <is>
          <t>Retain - audited; PIT timing rule CLOSED; rebuild pending</t>
        </is>
      </c>
      <c r="G17" s="32" t="inlineStr">
        <is>
          <t>SIX-STEP PRE-FREEZE AUDIT PASSED FOR LINEAGE/MAPPING/SCALING AND TIMING DECISION CLOSED. Historical source fields are issuer-level Bloomberg Fundamentals SHORT_AND_LONG_TERM_DEBT and EBITDA; mapping uses ULT_PARENT_TICKER_EXCHANGE. The legacy panel assigns each quarter's eventual current-restated debt/EBITDA ratio to all three months of that same calendar quarter, creating look-ahead. Final rule for the controlled rebuild is identical to the cash-flow/assets rule: at each exact obs_date use Bloomberg historical point-in-time quarterly fundamentals and select the most recent fiscal quarter jointly complete across CFO, assets, debt and EBITDA; if the newest reported quarter is incomplete, use the immediately preceding quarter. Compute tot_debt_to_ebitda from debt and EBITDA in that same selected period/vintage and retain the validated raw leverage multiple (x), with no x100, log, standardization or winsorization. Exact-panel shared-rule validation: 1,959/1,959 issuer-date pairs resolved; 14 fallback pairs; 0 unresolved; 29/4,229 bond rows affected by fallback across 12 bonds; zero sample loss. Implement only in the one reproducible controlled rebuild and preserve PIT extraction/provenance.</t>
        </is>
      </c>
    </row>
    <row r="18" ht="34" customHeight="1" s="40">
      <c r="A18" s="30" t="inlineStr">
        <is>
          <t>Residual bond maturity</t>
        </is>
      </c>
      <c r="B18" s="30" t="inlineStr">
        <is>
          <t>x</t>
        </is>
      </c>
      <c r="C18" s="30" t="inlineStr">
        <is>
          <t>x</t>
        </is>
      </c>
      <c r="D18" s="31" t="inlineStr">
        <is>
          <t>x</t>
        </is>
      </c>
      <c r="E18" s="32" t="inlineStr">
        <is>
          <t>x</t>
        </is>
      </c>
      <c r="F18" s="32" t="inlineStr">
        <is>
          <t>Retain - audited; BUS/252 helper consistency CLOSED</t>
        </is>
      </c>
      <c r="G18" s="32" t="inlineStr">
        <is>
          <t>PRE-FREEZE SIX-STEP AUDIT PASSED. Source field is contractual MATURITY in universo_brazil_deb_des.xlsx / db_values_only. All 103 panel bonds map uniquely with valid maturity dates. The legacy econometric panel field days_to_maturity is residual maturity in BUS/252 years and its previously audited historical construction remains documented separately; do not alter those stored values ad hoc. Separate reusable-helper audit CLOSED 6-Oct: compute_spreads(), NTN-B YTM pricing, Nelson-Siegel-Svensson cash-flow timing/weighting and WLA boundary logic all use the same DayCounts('bus/252', calendar='cdr_anbima') [start,end) convention. WLA production dates/maturities and the 21 corrected trading-date blocks were validated. Before the calendar patch, 2,214/3,144 WLA Term rows matched and 930 differed by integer business days; adding 20-Nov as a national holiday from 2024 onward to cdr_anbima produces 3,144/3,144 exact matches with max gap 0. Targeted day-count/spread/interpolation tests pass 5/5; commit 2447da2. No endpoint change to the shared helper and no edits to ntnb_real_curve.py, spread_calculator.py or the WLA workbook are required.</t>
        </is>
      </c>
    </row>
    <row r="19" ht="34" customHeight="1" s="40">
      <c r="A19" s="30" t="inlineStr">
        <is>
          <t>Within R-squared</t>
        </is>
      </c>
      <c r="B19" s="30" t="inlineStr">
        <is>
          <t>report</t>
        </is>
      </c>
      <c r="C19" s="30" t="inlineStr">
        <is>
          <t>report</t>
        </is>
      </c>
      <c r="D19" s="31" t="inlineStr">
        <is>
          <t>report</t>
        </is>
      </c>
      <c r="E19" s="32" t="inlineStr">
        <is>
          <t>report</t>
        </is>
      </c>
      <c r="F19" s="32" t="inlineStr">
        <is>
          <t>Required</t>
        </is>
      </c>
      <c r="G19" s="32" t="inlineStr">
        <is>
          <t>Explicitly requested in the attachment.</t>
        </is>
      </c>
    </row>
    <row r="20" ht="34" customHeight="1" s="40">
      <c r="A20" s="30" t="inlineStr">
        <is>
          <t>rho</t>
        </is>
      </c>
      <c r="B20" s="30" t="inlineStr">
        <is>
          <t>report</t>
        </is>
      </c>
      <c r="C20" s="30" t="inlineStr">
        <is>
          <t>report</t>
        </is>
      </c>
      <c r="D20" s="31" t="inlineStr">
        <is>
          <t>report</t>
        </is>
      </c>
      <c r="E20" s="32" t="inlineStr">
        <is>
          <t>report</t>
        </is>
      </c>
      <c r="F20" s="32" t="inlineStr">
        <is>
          <t>Required</t>
        </is>
      </c>
      <c r="G20" s="32" t="inlineStr">
        <is>
          <t>Explicitly requested in the attachment.</t>
        </is>
      </c>
    </row>
    <row r="21" ht="34" customHeight="1" s="40">
      <c r="A21" s="30" t="inlineStr">
        <is>
          <t>Diagnostics / DK metadata</t>
        </is>
      </c>
      <c r="B21" s="30" t="inlineStr">
        <is>
          <t>below</t>
        </is>
      </c>
      <c r="C21" s="30" t="inlineStr">
        <is>
          <t>below</t>
        </is>
      </c>
      <c r="D21" s="31" t="inlineStr">
        <is>
          <t>below</t>
        </is>
      </c>
      <c r="E21" s="32" t="inlineStr">
        <is>
          <t>below</t>
        </is>
      </c>
      <c r="F21" s="32" t="inlineStr">
        <is>
          <t>Required</t>
        </is>
      </c>
      <c r="G21" s="32" t="inlineStr">
        <is>
          <t>Show diagnostic tests, DK lag and panel dimensions with the table.</t>
        </is>
      </c>
    </row>
    <row r="22">
      <c r="A22" s="26" t="n"/>
      <c r="B22" s="26" t="n"/>
      <c r="C22" s="26" t="n"/>
      <c r="D22" s="26" t="n"/>
      <c r="E22" s="26" t="n"/>
      <c r="F22" s="26" t="n"/>
      <c r="G22" s="26" t="n"/>
    </row>
    <row r="23">
      <c r="A23" s="26" t="n"/>
      <c r="B23" s="26" t="n"/>
      <c r="C23" s="26" t="n"/>
      <c r="D23" s="26" t="n"/>
      <c r="E23" s="26" t="n"/>
      <c r="F23" s="26" t="n"/>
      <c r="G23" s="26" t="n"/>
    </row>
    <row r="24" ht="24" customHeight="1" s="40">
      <c r="A24" s="52" t="inlineStr">
        <is>
          <t>Optional SELIC 3M Forward robustness checks (secondary to the core four models)</t>
        </is>
      </c>
    </row>
    <row r="25" ht="36" customHeight="1" s="40">
      <c r="A25" s="27" t="inlineStr">
        <is>
          <t>Element</t>
        </is>
      </c>
      <c r="B25" s="27" t="inlineStr">
        <is>
          <t>Model 5</t>
        </is>
      </c>
      <c r="C25" s="27" t="inlineStr">
        <is>
          <t>Model 6</t>
        </is>
      </c>
      <c r="D25" s="28" t="inlineStr">
        <is>
          <t>Status</t>
        </is>
      </c>
      <c r="E25" s="29" t="inlineStr">
        <is>
          <t>Required exclusion</t>
        </is>
      </c>
      <c r="F25" s="29" t="inlineStr">
        <is>
          <t>Open point</t>
        </is>
      </c>
      <c r="G25" s="29" t="inlineStr">
        <is>
          <t>Implementation note</t>
        </is>
      </c>
    </row>
    <row r="26" ht="38" customHeight="1" s="40">
      <c r="A26" s="30" t="inlineStr">
        <is>
          <t>SELIC 3M Forward</t>
        </is>
      </c>
      <c r="B26" s="30" t="inlineStr">
        <is>
          <t>include</t>
        </is>
      </c>
      <c r="C26" s="30" t="inlineStr">
        <is>
          <t>include</t>
        </is>
      </c>
      <c r="D26" s="31" t="inlineStr">
        <is>
          <t>Prepared; eligible after core frozen-panel rerun</t>
        </is>
      </c>
      <c r="E26" s="32" t="inlineStr">
        <is>
          <t>-</t>
        </is>
      </c>
      <c r="F26" s="32" t="inlineStr">
        <is>
          <t>Proxy sourced/documented: YCSW0089 Index 3M (Brazil 3M DI). Data Freeze has passed; run Models 5-6 only after the core WP-07 DK table is validated.</t>
        </is>
      </c>
      <c r="G26" s="32" t="inlineStr">
        <is>
          <t>Referee/director robustness, not baseline. Use validated YCSW0089 Index 3M after the core frozen-panel rerun; compare nominal FED3M retained versus omitted under the specified FX/sovereign exclusions.</t>
        </is>
      </c>
    </row>
    <row r="27" ht="38" customHeight="1" s="40">
      <c r="A27" s="30" t="inlineStr">
        <is>
          <t>FED3M Forward (nominal)</t>
        </is>
      </c>
      <c r="B27" s="30" t="inlineStr">
        <is>
          <t>retain</t>
        </is>
      </c>
      <c r="C27" s="30" t="inlineStr">
        <is>
          <t>omit</t>
        </is>
      </c>
      <c r="D27" s="31" t="inlineStr">
        <is>
          <t>Specified</t>
        </is>
      </c>
      <c r="E27" s="32" t="inlineStr">
        <is>
          <t>Model 6 omits it</t>
        </is>
      </c>
      <c r="F27" s="32" t="inlineStr">
        <is>
          <t>-</t>
        </is>
      </c>
      <c r="G27" s="32" t="inlineStr">
        <is>
          <t>Second SELIC variant removes FED3M as well.</t>
        </is>
      </c>
    </row>
    <row r="28" ht="38" customHeight="1" s="40">
      <c r="A28" s="30" t="inlineStr">
        <is>
          <t>FX (NER/RER)</t>
        </is>
      </c>
      <c r="B28" s="30" t="inlineStr">
        <is>
          <t>omit</t>
        </is>
      </c>
      <c r="C28" s="30" t="inlineStr">
        <is>
          <t>omit</t>
        </is>
      </c>
      <c r="D28" s="31" t="inlineStr">
        <is>
          <t>Specified</t>
        </is>
      </c>
      <c r="E28" s="32" t="inlineStr">
        <is>
          <t>Both models omit FX</t>
        </is>
      </c>
      <c r="F28" s="32" t="inlineStr">
        <is>
          <t>-</t>
        </is>
      </c>
      <c r="G28" s="32" t="inlineStr">
        <is>
          <t>Required by Martin.</t>
        </is>
      </c>
    </row>
    <row r="29" ht="38" customHeight="1" s="40">
      <c r="A29" s="30" t="inlineStr">
        <is>
          <t>Sovereign Risk (BRL)</t>
        </is>
      </c>
      <c r="B29" s="30" t="inlineStr">
        <is>
          <t>omit</t>
        </is>
      </c>
      <c r="C29" s="30" t="inlineStr">
        <is>
          <t>omit</t>
        </is>
      </c>
      <c r="D29" s="31" t="inlineStr">
        <is>
          <t>Specified</t>
        </is>
      </c>
      <c r="E29" s="32" t="inlineStr">
        <is>
          <t>Both models omit sovereign spread</t>
        </is>
      </c>
      <c r="F29" s="32" t="inlineStr">
        <is>
          <t>-</t>
        </is>
      </c>
      <c r="G29" s="32" t="inlineStr">
        <is>
          <t>Required by Martin.</t>
        </is>
      </c>
    </row>
    <row r="30" ht="38" customHeight="1" s="40">
      <c r="A30" s="36" t="inlineStr">
        <is>
          <t>Other macro and firm/bond controls</t>
        </is>
      </c>
      <c r="B30" s="36" t="inlineStr">
        <is>
          <t>base set</t>
        </is>
      </c>
      <c r="C30" s="36" t="inlineStr">
        <is>
          <t>base set</t>
        </is>
      </c>
      <c r="D30" s="37" t="inlineStr">
        <is>
          <t>Confirm</t>
        </is>
      </c>
      <c r="E30" s="38" t="inlineStr">
        <is>
          <t>-</t>
        </is>
      </c>
      <c r="F30" s="38" t="inlineStr">
        <is>
          <t>Exact retained block not fully stated</t>
        </is>
      </c>
      <c r="G30" s="38" t="inlineStr">
        <is>
          <t>Use the selected base column only after confirmation.</t>
        </is>
      </c>
    </row>
    <row r="31">
      <c r="A31" s="26" t="n"/>
      <c r="B31" s="26" t="n"/>
      <c r="C31" s="26" t="n"/>
      <c r="D31" s="26" t="n"/>
      <c r="E31" s="26" t="n"/>
      <c r="F31" s="26" t="n"/>
      <c r="G31" s="26" t="n"/>
    </row>
    <row r="32" ht="24" customHeight="1" s="40">
      <c r="A32" s="52" t="inlineStr">
        <is>
          <t>Implementation controls and unresolved source points</t>
        </is>
      </c>
    </row>
    <row r="33" ht="36" customHeight="1" s="40">
      <c r="A33" s="27" t="inlineStr">
        <is>
          <t>#</t>
        </is>
      </c>
      <c r="B33" s="27" t="inlineStr">
        <is>
          <t>Control / ambiguity</t>
        </is>
      </c>
      <c r="C33" s="27" t="inlineStr">
        <is>
          <t>Status</t>
        </is>
      </c>
      <c r="D33" s="28" t="inlineStr">
        <is>
          <t>Required decision or evidence</t>
        </is>
      </c>
      <c r="E33" s="29" t="inlineStr">
        <is>
          <t>Owner</t>
        </is>
      </c>
      <c r="F33" s="29" t="inlineStr">
        <is>
          <t>Target</t>
        </is>
      </c>
      <c r="G33" s="29" t="inlineStr">
        <is>
          <t>Source</t>
        </is>
      </c>
    </row>
    <row r="34" ht="40" customHeight="1" s="40">
      <c r="A34" s="30" t="n">
        <v>1</v>
      </c>
      <c r="B34" s="30" t="inlineStr">
        <is>
          <t>Use nominal FED3M Forward; exclude old real series</t>
        </is>
      </c>
      <c r="C34" s="30" t="inlineStr">
        <is>
          <t>Resolved</t>
        </is>
      </c>
      <c r="D34" s="31" t="inlineStr">
        <is>
          <t>Implement nominal series in all four core models</t>
        </is>
      </c>
      <c r="E34" s="32" t="inlineStr">
        <is>
          <t>Thiago</t>
        </is>
      </c>
      <c r="F34" s="32" t="inlineStr">
        <is>
          <t>Before estimation</t>
        </is>
      </c>
      <c r="G34" s="32" t="inlineStr">
        <is>
          <t>Martin 25-Sep</t>
        </is>
      </c>
    </row>
    <row r="35" ht="40" customHeight="1" s="40">
      <c r="A35" s="30" t="n">
        <v>2</v>
      </c>
      <c r="B35" s="30" t="inlineStr">
        <is>
          <t>One table only; no separate plain-FE or PCSE columns</t>
        </is>
      </c>
      <c r="C35" s="30" t="inlineStr">
        <is>
          <t>Resolved</t>
        </is>
      </c>
      <c r="D35" s="31" t="inlineStr">
        <is>
          <t>Use FE-DK columns and place diagnostics below</t>
        </is>
      </c>
      <c r="E35" s="32" t="inlineStr">
        <is>
          <t>Thiago</t>
        </is>
      </c>
      <c r="F35" s="32" t="inlineStr">
        <is>
          <t>10-Oct-2026 package</t>
        </is>
      </c>
      <c r="G35" s="32" t="inlineStr">
        <is>
          <t>Main output remains DK-only. 2-Oct meeting reaffirms no main-table plain-FE/PCSE horse race; alternatives may appear only as qualified appendix/internal diagnostics.</t>
        </is>
      </c>
    </row>
    <row r="36" ht="40" customHeight="1" s="40">
      <c r="A36" s="30" t="n">
        <v>3</v>
      </c>
      <c r="B36" s="30" t="inlineStr">
        <is>
          <t>PCSE rationale</t>
        </is>
      </c>
      <c r="C36" s="30" t="inlineStr">
        <is>
          <t>Resolved</t>
        </is>
      </c>
      <c r="D36" s="31" t="inlineStr">
        <is>
          <t>Document the exact FE/DK/PCSE distinction: FE defines coefficient estimation; DK/PCSE address covariance/inference. Verify the heteroskedasticity, serial-correlation and cross-sectional-dependence treatment and explain why the highly unbalanced panel / limited common overlap supports DK as the preferred main inference.</t>
        </is>
      </c>
      <c r="E36" s="32" t="inlineStr">
        <is>
          <t>Thiago</t>
        </is>
      </c>
      <c r="F36" s="32" t="inlineStr">
        <is>
          <t>Response memo</t>
        </is>
      </c>
      <c r="G36" s="32" t="inlineStr">
        <is>
          <t>Martin 25-Sep</t>
        </is>
      </c>
    </row>
    <row r="37" ht="40" customHeight="1" s="40">
      <c r="A37" s="36" t="n">
        <v>4</v>
      </c>
      <c r="B37" s="36" t="inlineStr">
        <is>
          <t>Model 1 contains both NER and RER in attachment</t>
        </is>
      </c>
      <c r="C37" s="36" t="inlineStr">
        <is>
          <t>Confirm</t>
        </is>
      </c>
      <c r="D37" s="37" t="inlineStr">
        <is>
          <t>Ask whether Model 1 should contain NER, RER or both</t>
        </is>
      </c>
      <c r="E37" s="38" t="inlineStr">
        <is>
          <t>Thiago + Martin</t>
        </is>
      </c>
      <c r="F37" s="38" t="inlineStr">
        <is>
          <t>Before final code</t>
        </is>
      </c>
      <c r="G37" s="38" t="inlineStr">
        <is>
          <t>Attached table</t>
        </is>
      </c>
    </row>
    <row r="38" ht="40" customHeight="1" s="40">
      <c r="A38" s="36" t="n">
        <v>5</v>
      </c>
      <c r="B38" s="36" t="inlineStr">
        <is>
          <t>Stacking text versus controls in all attached columns</t>
        </is>
      </c>
      <c r="C38" s="36" t="inlineStr">
        <is>
          <t>Confirm</t>
        </is>
      </c>
      <c r="D38" s="37" t="inlineStr">
        <is>
          <t>Map external -&gt; domestic/sovereign -&gt; firm/bond sequence to final columns</t>
        </is>
      </c>
      <c r="E38" s="38" t="inlineStr">
        <is>
          <t>Thiago + Martin</t>
        </is>
      </c>
      <c r="F38" s="38" t="inlineStr">
        <is>
          <t>Before final code</t>
        </is>
      </c>
      <c r="G38" s="38" t="inlineStr">
        <is>
          <t>Martin + table</t>
        </is>
      </c>
    </row>
    <row r="39" ht="40" customHeight="1" s="40">
      <c r="A39" s="36" t="n">
        <v>6</v>
      </c>
      <c r="B39" s="36" t="inlineStr">
        <is>
          <t>No separate inflation term in paper exercise</t>
        </is>
      </c>
      <c r="C39" s="36" t="inlineStr">
        <is>
          <t>Clarify wording</t>
        </is>
      </c>
      <c r="D39" s="37" t="inlineStr">
        <is>
          <t>Verify consistency with IPCA-linked yield units and thesis notation</t>
        </is>
      </c>
      <c r="E39" s="38" t="inlineStr">
        <is>
          <t>Thiago + Martin</t>
        </is>
      </c>
      <c r="F39" s="38" t="inlineStr">
        <is>
          <t>Before writing</t>
        </is>
      </c>
      <c r="G39" s="38" t="inlineStr">
        <is>
          <t>Martin 25-Sep</t>
        </is>
      </c>
    </row>
    <row r="40" ht="40" customHeight="1" s="40">
      <c r="A40" s="36" t="n">
        <v>7</v>
      </c>
      <c r="B40" s="36" t="inlineStr">
        <is>
          <t>NER and RER reportedly similar</t>
        </is>
      </c>
      <c r="C40" s="36" t="inlineStr">
        <is>
          <t>Verify</t>
        </is>
      </c>
      <c r="D40" s="37" t="inlineStr">
        <is>
          <t>Confirm on regenerated corrected-spread estimates</t>
        </is>
      </c>
      <c r="E40" s="38" t="inlineStr">
        <is>
          <t>Thiago</t>
        </is>
      </c>
      <c r="F40" s="38" t="inlineStr">
        <is>
          <t>With core table</t>
        </is>
      </c>
      <c r="G40" s="38" t="inlineStr">
        <is>
          <t>Martin 25-Sep</t>
        </is>
      </c>
    </row>
    <row r="41" ht="40" customHeight="1" s="40">
      <c r="A41" s="36" t="n">
        <v>8</v>
      </c>
      <c r="B41" s="36" t="inlineStr">
        <is>
          <t>Core table delivery</t>
        </is>
      </c>
      <c r="C41" s="36" t="inlineStr">
        <is>
          <t>Target</t>
        </is>
      </c>
      <c r="D41" s="37" t="inlineStr">
        <is>
          <t>Send one consolidated table with diagnostics and statistics</t>
        </is>
      </c>
      <c r="E41" s="38" t="inlineStr">
        <is>
          <t>Thiago</t>
        </is>
      </c>
      <c r="F41" s="38" t="inlineStr">
        <is>
          <t>10-Oct-2026</t>
        </is>
      </c>
      <c r="G41" s="38" t="inlineStr">
        <is>
          <t>Old 30-Sep target superseded. Send corrected core DK regressions, agreed robustness results and an updated presentation to Martin by 10-Oct; joint review week of 13-Oct.</t>
        </is>
      </c>
    </row>
    <row r="42" ht="40" customHeight="1" s="40">
      <c r="A42" s="36" t="n">
        <v>9</v>
      </c>
      <c r="B42" s="36" t="inlineStr">
        <is>
          <t>Sovereign Risk (BRL) definition / old synthetic-CDS label</t>
        </is>
      </c>
      <c r="C42" s="36" t="inlineStr">
        <is>
          <t>Resolved/frozen under WP-06</t>
        </is>
      </c>
      <c r="D42" s="37" t="inlineStr">
        <is>
          <t>Legacy synthetic_cds_brl remains invalid and is replaced by sovereign_spread_brl. WP-02 source/formula stays fixed: domestic_sovereign_curve_brazil.xlsx metadata + govt_ya_ande.v3.xlsx ANDE normalized YAS; 252 LTN + 330 NTN-F = 582 government observations against same-date exact-tenor DI. WP-06 now supplies the panel mapping: same-date mapping only; flat-forward interpolation between tenor nodes; endpoint-flat mapping outside the observed same-date tenor range; single-node flat mapping where only one nominal bond exists. No backward time extrapolation into 2010-2015. Final rebuilt panel: sovereign present 3,918, missing 730; all missing rows are pre-2016.</t>
        </is>
      </c>
      <c r="E42" s="38" t="inlineStr">
        <is>
          <t>Thiago</t>
        </is>
      </c>
      <c r="F42" s="38" t="inlineStr">
        <is>
          <t>Closed before estimation</t>
        </is>
      </c>
      <c r="G42" s="38" t="inlineStr">
        <is>
          <t>Martin audio 25-Sep</t>
        </is>
      </c>
    </row>
    <row r="43" ht="40" customHeight="1" s="40">
      <c r="A43" s="36" t="n">
        <v>10</v>
      </c>
      <c r="B43" s="36" t="inlineStr">
        <is>
          <t>USD CDS 5Y in the economic model</t>
        </is>
      </c>
      <c r="C43" s="36" t="inlineStr">
        <is>
          <t>Deferred final-panel integrity check</t>
        </is>
      </c>
      <c r="D43" s="37" t="inlineStr">
        <is>
          <t>Martin confirms USD CDS 5Y was never part of the economic model. Keep a final code/specification search immediately before estimation to confirm it is absent everywhere; do not add it as a main or secondary control. This is a final-panel integrity check and no longer an open WP-02 closure condition.</t>
        </is>
      </c>
      <c r="E43" s="38" t="inlineStr">
        <is>
          <t>Thiago</t>
        </is>
      </c>
      <c r="F43" s="38" t="inlineStr">
        <is>
          <t>Before final estimation</t>
        </is>
      </c>
      <c r="G43" s="38" t="inlineStr">
        <is>
          <t>Martin audio 25 &amp; 27-Sep</t>
        </is>
      </c>
    </row>
    <row r="44" ht="40" customHeight="1" s="40">
      <c r="A44" s="36" t="n">
        <v>11</v>
      </c>
      <c r="B44" s="36" t="inlineStr">
        <is>
          <t>Common-reference two-spread specification</t>
        </is>
      </c>
      <c r="C44" s="36" t="inlineStr">
        <is>
          <t>Specification intent resolved; reconciliation pending</t>
        </is>
      </c>
      <c r="D44" s="37" t="inlineStr">
        <is>
          <t>Document the preferred two-spread transmission specification, but first reconcile the phrase 'same local reference curve' with the implemented data: the corporate dependent variable is IPCA-linked and benchmarked to the real IPCA reference curve, while the validated nominal sovereign series uses LTN/NTN-F versus the DI curve. Do not claim an identical benchmark unless the indexation-consistent mapping is explicitly demonstrated. Then support the chosen formulation with literature.</t>
        </is>
      </c>
      <c r="E44" s="38" t="inlineStr">
        <is>
          <t>Thiago</t>
        </is>
      </c>
      <c r="F44" s="38" t="inlineStr">
        <is>
          <t>Before final estimation/write-up</t>
        </is>
      </c>
      <c r="G44" s="38" t="inlineStr">
        <is>
          <t>Martin audio 27-Sep</t>
        </is>
      </c>
    </row>
    <row r="45" ht="40" customHeight="1" s="40">
      <c r="A45" s="36" t="n">
        <v>12</v>
      </c>
      <c r="B45" s="36" t="inlineStr">
        <is>
          <t>SELIC 3M Forward role</t>
        </is>
      </c>
      <c r="C45" s="36" t="inlineStr">
        <is>
          <t>Resolved - referee only</t>
        </is>
      </c>
      <c r="D45" s="37" t="inlineStr">
        <is>
          <t>Run only as an optional referee diagnostic under the specified exclusions; do not treat it as baseline; decide whether to show/publish only if informative.</t>
        </is>
      </c>
      <c r="E45" s="38" t="inlineStr">
        <is>
          <t>Thiago</t>
        </is>
      </c>
      <c r="F45" s="38" t="inlineStr">
        <is>
          <t>After data freeze and core table / if time permits</t>
        </is>
      </c>
      <c r="G45" s="38" t="inlineStr">
        <is>
          <t>Martin audio 27-Sep</t>
        </is>
      </c>
    </row>
    <row r="46" ht="115" customHeight="1" s="40">
      <c r="A46" s="36" t="n">
        <v>13</v>
      </c>
      <c r="B46" s="36" t="inlineStr">
        <is>
          <t>Econometric Panel Data Freeze Gate</t>
        </is>
      </c>
      <c r="C46" s="36" t="inlineStr">
        <is>
          <t>PASSED - reproducible frozen panel committed</t>
        </is>
      </c>
      <c r="D46" s="37" t="inlineStr">
        <is>
          <t>PASSED 9-Oct-2026. Rebuilt panel has 4,648 rows x 19 columns, 103 bonds, 48 issuers, 0 duplicate bond-month keys; SGS 13762 uniform L2 timing is implemented; sovereign mapping is documented/reproducible with 3,918 populated / 730 intentional pre-2016 missing rows; legacy workbook remains untouched. Overlap reconciliation and expected-change review passed. Frozen builder/candidate/input package committed as 23435a4. Final FE-DK and robustness work may now proceed.</t>
        </is>
      </c>
      <c r="E46" s="38" t="inlineStr">
        <is>
          <t>Thiago</t>
        </is>
      </c>
      <c r="F46" s="38" t="inlineStr">
        <is>
          <t>Passed 9-Oct-2026</t>
        </is>
      </c>
      <c r="G46" s="38" t="inlineStr">
        <is>
          <t>Data Freeze Gate closure; reproducibility commit 23435a4. Use panel_main_and_robustness_rebuilt.xlsx for WP-07/WP-08.</t>
        </is>
      </c>
    </row>
    <row r="47" ht="52" customHeight="1" s="40">
      <c r="A47" s="37" t="n">
        <v>14</v>
      </c>
      <c r="B47" s="37" t="inlineStr">
        <is>
          <t>FE versus covariance-estimator wording</t>
        </is>
      </c>
      <c r="C47" s="37" t="inlineStr">
        <is>
          <t>Required</t>
        </is>
      </c>
      <c r="D47" s="37" t="inlineStr">
        <is>
          <t>State that bond FE estimates coefficients while DK/PCSE affect covariance/inference; document exact assumptions/corrections with a standard reference.</t>
        </is>
      </c>
      <c r="E47" s="59" t="inlineStr">
        <is>
          <t>Thiago</t>
        </is>
      </c>
      <c r="F47" s="59" t="inlineStr">
        <is>
          <t>Before final methods text</t>
        </is>
      </c>
      <c r="G47" s="59" t="inlineStr">
        <is>
          <t>Martin Zoom 2-Oct</t>
        </is>
      </c>
    </row>
    <row r="48" ht="52" customHeight="1" s="40">
      <c r="A48" s="37" t="n">
        <v>15</v>
      </c>
      <c r="B48" s="37" t="inlineStr">
        <is>
          <t>BVAL / indicative pricing rule</t>
        </is>
      </c>
      <c r="C48" s="37" t="inlineStr">
        <is>
          <t>Resolved - baseline source-selection rule frozen; documentation pending</t>
        </is>
      </c>
      <c r="D48" s="37" t="inlineStr">
        <is>
          <t>Document Bloomberg BVAL/Bival as indicative/model-derived rather than executed pricing. The affected problematic BVAL observation was already replaced by the next-best available source in the revised corporate-spread work; do not reopen this source decision absent material new evidence. Preserve the source hierarchy and rationale in the builder/data appendix.</t>
        </is>
      </c>
      <c r="E48" s="59" t="inlineStr">
        <is>
          <t>Thiago</t>
        </is>
      </c>
      <c r="F48" s="59" t="inlineStr">
        <is>
          <t>During reproducible rebuild / data appendix</t>
        </is>
      </c>
      <c r="G48" s="59" t="inlineStr">
        <is>
          <t>7-Oct governance closure based on the completed corporate-spread source-selection work.</t>
        </is>
      </c>
    </row>
    <row r="49" ht="52" customHeight="1" s="40">
      <c r="A49" s="37" t="n">
        <v>16</v>
      </c>
      <c r="B49" s="37" t="inlineStr">
        <is>
          <t>Missing-price fill-forward sensitivity</t>
        </is>
      </c>
      <c r="C49" s="37" t="inlineStr">
        <is>
          <t>Post-freeze sensitivity - not a rebuild blocker</t>
        </is>
      </c>
      <c r="D49" s="37" t="inlineStr">
        <is>
          <t>If useful after the authoritative panel is frozen, compare an alternative no-fill-forward/missing-price convention and report any coverage/liquidity implications as sensitivity. Do not use this optional exercise to reopen the frozen baseline source hierarchy before the builder.</t>
        </is>
      </c>
      <c r="E49" s="59" t="inlineStr">
        <is>
          <t>Thiago</t>
        </is>
      </c>
      <c r="F49" s="59" t="inlineStr">
        <is>
          <t>After panel freeze / if informative</t>
        </is>
      </c>
      <c r="G49" s="59" t="inlineStr">
        <is>
          <t>Earlier 2-Oct request retained as bounded sensitivity; 7-Oct workflow no longer treats it as a prerequisite to starting the reproducible builder.</t>
        </is>
      </c>
    </row>
    <row r="50" ht="52" customHeight="1" s="40">
      <c r="A50" s="37" t="n">
        <v>17</v>
      </c>
      <c r="B50" s="37" t="inlineStr">
        <is>
          <t>Local-currency ratings evidence</t>
        </is>
      </c>
      <c r="C50" s="37" t="inlineStr">
        <is>
          <t>Audit complete - descriptive evidence only</t>
        </is>
      </c>
      <c r="D50" s="37" t="inlineStr">
        <is>
          <t>Exact-sample Bloomberg PIT issuer-rating audit completed. Global LT local-currency issuer ratings: &gt;=1 usable agency 41.6%, too sparse for a baseline control. Brazilian national-scale LT issuer ratings: &gt;=1 agency 75.8%, retained only as a clearly separate descriptive complement. Preserve agencies separately; no global/national mixing, parent/issue fallback or synthetic composite. Use in issuer/company table or appendix; interactions remain optional.</t>
        </is>
      </c>
      <c r="E50" s="59" t="inlineStr">
        <is>
          <t>Thiago</t>
        </is>
      </c>
      <c r="F50" s="59" t="inlineStr">
        <is>
          <t>Before defense/reviewer response; no baseline regression dependency</t>
        </is>
      </c>
      <c r="G50" s="59" t="inlineStr">
        <is>
          <t>Audit artifacts: datos_y_modelos/db/ratings/issuer_ratings_global_lc_bond_level_panel_audit.xlsx and issuer_ratings_national_bond_level_panel_audit.xlsx; commit b087203. ISSUER LC RATING CONTROL — FROZEN.</t>
        </is>
      </c>
    </row>
    <row r="51" ht="52" customHeight="1" s="40">
      <c r="A51" s="37" t="n">
        <v>18</v>
      </c>
      <c r="B51" s="37" t="inlineStr">
        <is>
          <t>Updated delivery sequence</t>
        </is>
      </c>
      <c r="C51" s="37" t="inlineStr">
        <is>
          <t>Target</t>
        </is>
      </c>
      <c r="D51" s="37" t="inlineStr">
        <is>
          <t>Data Freeze PASSED -&gt; CURRENT core DK audit/rerun -&gt; agreed robustness/sensitivity -&gt; send regressions + revised deck to Martin.</t>
        </is>
      </c>
      <c r="E51" s="59" t="inlineStr">
        <is>
          <t>Thiago</t>
        </is>
      </c>
      <c r="F51" s="59" t="inlineStr">
        <is>
          <t>10-Oct-2026; review week of 13-Oct</t>
        </is>
      </c>
      <c r="G51" s="59" t="inlineStr">
        <is>
          <t>Martin Zoom 2-Oct</t>
        </is>
      </c>
    </row>
  </sheetData>
  <mergeCells count="5">
    <mergeCell ref="A32:G32"/>
    <mergeCell ref="A1:G1"/>
    <mergeCell ref="A4:G4"/>
    <mergeCell ref="A24:G24"/>
    <mergeCell ref="A2:G2"/>
  </mergeCell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tabColor rgb="FFC00000"/>
    <outlinePr summaryBelow="1" summaryRight="1"/>
    <pageSetUpPr/>
  </sheetPr>
  <dimension ref="A1:E15"/>
  <sheetViews>
    <sheetView showGridLines="0"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v4 Change Log</t>
        </is>
      </c>
    </row>
    <row r="2" ht="34" customHeight="1" s="40">
      <c r="A2" s="48" t="inlineStr">
        <is>
          <t>Exact changes merged from Martin Grandes' 24-Sep-2026 messages after he read Daniel Milia's report.</t>
        </is>
      </c>
    </row>
    <row r="3" ht="34" customHeight="1" s="40">
      <c r="A3" s="22" t="inlineStr">
        <is>
          <t>Change ID</t>
        </is>
      </c>
      <c r="B3" s="22" t="inlineStr">
        <is>
          <t>Date</t>
        </is>
      </c>
      <c r="C3" s="22" t="inlineStr">
        <is>
          <t>Topic</t>
        </is>
      </c>
      <c r="D3" s="22" t="inlineStr">
        <is>
          <t>Sheets / rows affected</t>
        </is>
      </c>
      <c r="E3" s="22" t="inlineStr">
        <is>
          <t>What changed</t>
        </is>
      </c>
    </row>
    <row r="4" ht="52" customHeight="1" s="40">
      <c r="A4" s="23" t="inlineStr">
        <is>
          <t>v4-01</t>
        </is>
      </c>
      <c r="B4" s="4" t="inlineStr">
        <is>
          <t>24-Sep-2026</t>
        </is>
      </c>
      <c r="C4" s="21" t="inlineStr">
        <is>
          <t>Daniel overall priority</t>
        </is>
      </c>
      <c r="D4" s="4" t="inlineStr">
        <is>
          <t>Director Guidance; README; Dashboard</t>
        </is>
      </c>
      <c r="E4" s="4" t="inlineStr">
        <is>
          <t>Recorded Martin's assessment that Daniel is less substantive than Ailin and Maximo and should be handled selectively after the core empirical work.</t>
        </is>
      </c>
    </row>
    <row r="5" ht="52" customHeight="1" s="40">
      <c r="A5" s="23" t="inlineStr">
        <is>
          <t>v4-02</t>
        </is>
      </c>
      <c r="B5" s="4" t="inlineStr">
        <is>
          <t>24-Sep-2026</t>
        </is>
      </c>
      <c r="C5" s="21" t="inlineStr">
        <is>
          <t>Hypothesis-result linkage</t>
        </is>
      </c>
      <c r="D5" s="4" t="inlineStr">
        <is>
          <t>MR-09, MR-19, MR-30, MR-31, MR-32; WP-06, WP-13, WP-14</t>
        </is>
      </c>
      <c r="E5" s="4" t="inlineStr">
        <is>
          <t>Added an explicit requirement to link each hypothesis to final results and classify evidence as robust, partial/sensitive, null or unresolved.</t>
        </is>
      </c>
    </row>
    <row r="6" ht="52" customHeight="1" s="40">
      <c r="A6" s="23" t="inlineStr">
        <is>
          <t>v4-03</t>
        </is>
      </c>
      <c r="B6" s="4" t="inlineStr">
        <is>
          <t>24-Sep-2026</t>
        </is>
      </c>
      <c r="C6" s="21" t="inlineStr">
        <is>
          <t>Counterintuitive signs</t>
        </is>
      </c>
      <c r="D6" s="4" t="inlineStr">
        <is>
          <t>MR-01, MR-09, MR-19, MR-26, MR-30</t>
        </is>
      </c>
      <c r="E6" s="4" t="inlineStr">
        <is>
          <t>Made clearer sign explanations a required downstream narrative task.</t>
        </is>
      </c>
    </row>
    <row r="7" ht="52" customHeight="1" s="40">
      <c r="A7" s="23" t="inlineStr">
        <is>
          <t>v4-04</t>
        </is>
      </c>
      <c r="B7" s="4" t="inlineStr">
        <is>
          <t>24-Sep-2026</t>
        </is>
      </c>
      <c r="C7" s="21" t="inlineStr">
        <is>
          <t>Heteroskedasticity and diagnostics</t>
        </is>
      </c>
      <c r="D7" s="4" t="inlineStr">
        <is>
          <t>MR-16; WP-07</t>
        </is>
      </c>
      <c r="E7" s="4" t="inlineStr">
        <is>
          <t>Recorded that the problem was already treated in substance; the revision must make diagnostics and the correction visible.</t>
        </is>
      </c>
    </row>
    <row r="8" ht="52" customHeight="1" s="40">
      <c r="A8" s="23" t="inlineStr">
        <is>
          <t>v4-05</t>
        </is>
      </c>
      <c r="B8" s="4" t="inlineStr">
        <is>
          <t>24-Sep-2026</t>
        </is>
      </c>
      <c r="C8" s="21" t="inlineStr">
        <is>
          <t>Minor bibliography</t>
        </is>
      </c>
      <c r="D8" s="4" t="inlineStr">
        <is>
          <t>MR-11, MR-21, MR-34; WP-11</t>
        </is>
      </c>
      <c r="E8" s="4" t="inlineStr">
        <is>
          <t>Reclassified Daniel bibliography requests as bounded, targeted corrections rather than a literature overhaul.</t>
        </is>
      </c>
    </row>
    <row r="9" ht="52" customHeight="1" s="40">
      <c r="A9" s="23" t="inlineStr">
        <is>
          <t>v4-06</t>
        </is>
      </c>
      <c r="B9" s="4" t="inlineStr">
        <is>
          <t>24-Sep-2026</t>
        </is>
      </c>
      <c r="C9" s="21" t="inlineStr">
        <is>
          <t>SELIC disposition</t>
        </is>
      </c>
      <c r="D9" s="4" t="inlineStr">
        <is>
          <t>MR-04, MR-26; MG-10; WP-04</t>
        </is>
      </c>
      <c r="E9" s="4" t="inlineStr">
        <is>
          <t>Changed SELIC from a possible robustness variable to an explicit separate-regressor non-inclusion: it is part of the short end and potentially redundant.</t>
        </is>
      </c>
    </row>
    <row r="10" ht="52" customHeight="1" s="40">
      <c r="A10" s="23" t="inlineStr">
        <is>
          <t>v4-07</t>
        </is>
      </c>
      <c r="B10" s="4" t="inlineStr">
        <is>
          <t>24-Sep-2026</t>
        </is>
      </c>
      <c r="C10" s="21" t="inlineStr">
        <is>
          <t>Sovereign ceiling</t>
        </is>
      </c>
      <c r="D10" s="4" t="inlineStr">
        <is>
          <t>MR-01, MR-02; MG-11; WP-02</t>
        </is>
      </c>
      <c r="E10" s="4" t="inlineStr">
        <is>
          <t>Added Martin's sovereign-ceiling framing and its link to the corporate excess/shortfall over the sovereign.</t>
        </is>
      </c>
    </row>
    <row r="11" ht="52" customHeight="1" s="40">
      <c r="A11" s="23" t="inlineStr">
        <is>
          <t>v4-08</t>
        </is>
      </c>
      <c r="B11" s="4" t="inlineStr">
        <is>
          <t>24-Sep-2026</t>
        </is>
      </c>
      <c r="C11" s="21" t="inlineStr">
        <is>
          <t>Matched YTM alternative</t>
        </is>
      </c>
      <c r="D11" s="4" t="inlineStr">
        <is>
          <t>MR-01; WP-02; Action Sequence</t>
        </is>
      </c>
      <c r="E11" s="4" t="inlineStr">
        <is>
          <t>Added the alternative corporate-YTM-on-sovereign-YTM interpretation with same tenor, currency and approximately the same coupon, plus literature justification.</t>
        </is>
      </c>
    </row>
    <row r="12" ht="52" customHeight="1" s="40">
      <c r="A12" s="23" t="inlineStr">
        <is>
          <t>v4-09</t>
        </is>
      </c>
      <c r="B12" s="4" t="inlineStr">
        <is>
          <t>24-Sep-2026</t>
        </is>
      </c>
      <c r="C12" s="21" t="inlineStr">
        <is>
          <t>DK-only main estimator</t>
        </is>
      </c>
      <c r="D12" s="4" t="inlineStr">
        <is>
          <t>MR-16, MR-17, MR-23; MG-12; WP-07</t>
        </is>
      </c>
      <c r="E12" s="4" t="inlineStr">
        <is>
          <t>Specified Driscoll-Kraay as the only main estimator and added a short explanation for discarding PCSE.</t>
        </is>
      </c>
    </row>
    <row r="13" ht="52" customHeight="1" s="40">
      <c r="A13" s="23" t="inlineStr">
        <is>
          <t>v4-10</t>
        </is>
      </c>
      <c r="B13" s="4" t="inlineStr">
        <is>
          <t>24-Sep-2026</t>
        </is>
      </c>
      <c r="C13" s="21" t="inlineStr">
        <is>
          <t>Seminar specifications</t>
        </is>
      </c>
      <c r="D13" s="4" t="inlineStr">
        <is>
          <t>MR-18; MG-12; WP-08, WP-16</t>
        </is>
      </c>
      <c r="E13" s="4" t="inlineStr">
        <is>
          <t>Added real exchange rate and with/without macro controls correlated with local sovereign risk for Bordeaux/Geneva.</t>
        </is>
      </c>
    </row>
    <row r="14" ht="52" customHeight="1" s="40">
      <c r="A14" s="23" t="inlineStr">
        <is>
          <t>v4-11</t>
        </is>
      </c>
      <c r="B14" s="4" t="inlineStr">
        <is>
          <t>24-Sep-2026</t>
        </is>
      </c>
      <c r="C14" s="21" t="inlineStr">
        <is>
          <t>Priority sequence</t>
        </is>
      </c>
      <c r="D14" s="4" t="inlineStr">
        <is>
          <t>Dashboard; Action Sequence</t>
        </is>
      </c>
      <c r="E14" s="4" t="inlineStr">
        <is>
          <t>Kept WP-01 current, then elevated Maximo-driven spread/sovereign construction before Daniel-only exposition.</t>
        </is>
      </c>
    </row>
    <row r="15" ht="52" customHeight="1" s="40">
      <c r="A15" s="23" t="inlineStr">
        <is>
          <t>v4-12</t>
        </is>
      </c>
      <c r="B15" s="4" t="inlineStr">
        <is>
          <t>24-Sep-2026</t>
        </is>
      </c>
      <c r="C15" s="21" t="inlineStr">
        <is>
          <t>Source-of-truth update</t>
        </is>
      </c>
      <c r="D15" s="4" t="inlineStr">
        <is>
          <t>All tabs</t>
        </is>
      </c>
      <c r="E15" s="4" t="inlineStr">
        <is>
          <t>Merged the latest WhatsApp guidance without adding duplicate master issues or work packages.</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v5 Change Log</t>
        </is>
      </c>
    </row>
    <row r="2" ht="34" customHeight="1" s="40">
      <c r="A2" s="48" t="inlineStr">
        <is>
          <t>Exact changes merged from Martin Grandes' 25-Sep-2026 messages and attached estimation table.</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v5-01</t>
        </is>
      </c>
      <c r="B4" t="inlineStr">
        <is>
          <t>25-Sep-2026</t>
        </is>
      </c>
      <c r="C4" t="inlineStr">
        <is>
          <t>PCSE rationale confirmed</t>
        </is>
      </c>
      <c r="D4" t="inlineStr">
        <is>
          <t>MR-16, MR-17; MG-13; WP-07</t>
        </is>
      </c>
      <c r="E4" t="inlineStr">
        <is>
          <t>Recorded Martin's acceptance of the imbalance/common-overlap rationale and retained PCSE only for internal audit, not the main output.</t>
        </is>
      </c>
    </row>
    <row r="5" ht="58" customHeight="1" s="40">
      <c r="A5" t="inlineStr">
        <is>
          <t>v5-02</t>
        </is>
      </c>
      <c r="B5" t="inlineStr">
        <is>
          <t>25-Sep-2026</t>
        </is>
      </c>
      <c r="C5" t="inlineStr">
        <is>
          <t>Single FE-DK table</t>
        </is>
      </c>
      <c r="D5" t="inlineStr">
        <is>
          <t>MR-16, MR-18, MR-24; MG-14; WP-07/08/12</t>
        </is>
      </c>
      <c r="E5" t="inlineStr">
        <is>
          <t>Specified one consolidated FE-Driscoll-Kraay table and removed separate plain-FE and PCSE columns.</t>
        </is>
      </c>
    </row>
    <row r="6" ht="58" customHeight="1" s="40">
      <c r="A6" t="inlineStr">
        <is>
          <t>v5-03</t>
        </is>
      </c>
      <c r="B6" t="inlineStr">
        <is>
          <t>25-Sep-2026</t>
        </is>
      </c>
      <c r="C6" t="inlineStr">
        <is>
          <t>FED3M variable correction</t>
        </is>
      </c>
      <c r="D6" t="inlineStr">
        <is>
          <t>MR-18; MG-15; WP-08; Estimation Plan</t>
        </is>
      </c>
      <c r="E6" t="inlineStr">
        <is>
          <t>Replaced the old FED3M Forward Real construction with nominal FED3M Forward for the requested exercise.</t>
        </is>
      </c>
    </row>
    <row r="7" ht="58" customHeight="1" s="40">
      <c r="A7" t="inlineStr">
        <is>
          <t>v5-04</t>
        </is>
      </c>
      <c r="B7" t="inlineStr">
        <is>
          <t>25-Sep-2026</t>
        </is>
      </c>
      <c r="C7" t="inlineStr">
        <is>
          <t>SELIC baseline and optional checks</t>
        </is>
      </c>
      <c r="D7" t="inlineStr">
        <is>
          <t>MR-04, MR-26; MG-16; WP-04/08</t>
        </is>
      </c>
      <c r="E7" t="inlineStr">
        <is>
          <t>Preserved SELIC exclusion from the baseline but added two explicitly scoped optional SELIC 3M Forward robustness columns.</t>
        </is>
      </c>
    </row>
    <row r="8" ht="58" customHeight="1" s="40">
      <c r="A8" t="inlineStr">
        <is>
          <t>v5-05</t>
        </is>
      </c>
      <c r="B8" t="inlineStr">
        <is>
          <t>25-Sep-2026</t>
        </is>
      </c>
      <c r="C8" t="inlineStr">
        <is>
          <t>Exact four-model grid</t>
        </is>
      </c>
      <c r="D8" t="inlineStr">
        <is>
          <t>MR-18, MR-24; MG-17/19; Estimation Plan</t>
        </is>
      </c>
      <c r="E8" t="inlineStr">
        <is>
          <t>Transcribed the attached four-column variable grid and required Within R-squared/rho outputs.</t>
        </is>
      </c>
    </row>
    <row r="9" ht="58" customHeight="1" s="40">
      <c r="A9" t="inlineStr">
        <is>
          <t>v5-06</t>
        </is>
      </c>
      <c r="B9" t="inlineStr">
        <is>
          <t>25-Sep-2026</t>
        </is>
      </c>
      <c r="C9" t="inlineStr">
        <is>
          <t>FX and inflation treatment</t>
        </is>
      </c>
      <c r="D9" t="inlineStr">
        <is>
          <t>MR-01, MR-18, MR-26; MG-18</t>
        </is>
      </c>
      <c r="E9" t="inlineStr">
        <is>
          <t>Recorded the requested RER robustness, NER/RER similarity to verify, and the instruction not to add a separate inflation term.</t>
        </is>
      </c>
    </row>
    <row r="10" ht="58" customHeight="1" s="40">
      <c r="A10" t="inlineStr">
        <is>
          <t>v5-07</t>
        </is>
      </c>
      <c r="B10" t="inlineStr">
        <is>
          <t>25-Sep-2026</t>
        </is>
      </c>
      <c r="C10" t="inlineStr">
        <is>
          <t>Source ambiguities preserved</t>
        </is>
      </c>
      <c r="D10" t="inlineStr">
        <is>
          <t>MR-18; WP-08; Estimation Plan</t>
        </is>
      </c>
      <c r="E10" t="inlineStr">
        <is>
          <t>Flagged Model 1 NER+RER and stacking-versus-all-controls inconsistencies for confirmation rather than silently changing the source.</t>
        </is>
      </c>
    </row>
    <row r="11" ht="58" customHeight="1" s="40">
      <c r="A11" t="inlineStr">
        <is>
          <t>v5-08</t>
        </is>
      </c>
      <c r="B11" t="inlineStr">
        <is>
          <t>25-Sep-2026</t>
        </is>
      </c>
      <c r="C11" t="inlineStr">
        <is>
          <t>Near-term target</t>
        </is>
      </c>
      <c r="D11" t="inlineStr">
        <is>
          <t>Process &amp; Deadlines; Dashboard; WP-08/16</t>
        </is>
      </c>
      <c r="E11" t="inlineStr">
        <is>
          <t>Added the requested Wednesday target of 30-Sep-2026 for the consolidated result table.</t>
        </is>
      </c>
    </row>
    <row r="12" ht="58" customHeight="1" s="40">
      <c r="A12" t="inlineStr">
        <is>
          <t>v5-09</t>
        </is>
      </c>
      <c r="B12" t="inlineStr">
        <is>
          <t>25-Sep-2026</t>
        </is>
      </c>
      <c r="C12" t="inlineStr">
        <is>
          <t>New Estimation Plan sheet</t>
        </is>
      </c>
      <c r="D12" t="inlineStr">
        <is>
          <t>README; Estimation Plan</t>
        </is>
      </c>
      <c r="E12" t="inlineStr">
        <is>
          <t>Added an implementation-ready grid with core models, optional SELIC checks, controls, ambiguities and source traceability.</t>
        </is>
      </c>
    </row>
    <row r="13" ht="58" customHeight="1" s="40">
      <c r="A13" t="inlineStr">
        <is>
          <t>v5-10</t>
        </is>
      </c>
      <c r="B13" t="inlineStr">
        <is>
          <t>25-Sep-2026</t>
        </is>
      </c>
      <c r="C13" t="inlineStr">
        <is>
          <t>Source-of-truth update</t>
        </is>
      </c>
      <c r="D13" t="inlineStr">
        <is>
          <t>All relevant tabs</t>
        </is>
      </c>
      <c r="E13" t="inlineStr">
        <is>
          <t>Merged the latest director instructions without creating duplicate jury issues or work packages.</t>
        </is>
      </c>
    </row>
  </sheetData>
  <mergeCells count="2">
    <mergeCell ref="A2:E2"/>
    <mergeCell ref="A1:E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v6 Change Log</t>
        </is>
      </c>
    </row>
    <row r="2" ht="34" customHeight="1" s="40">
      <c r="A2" s="48" t="inlineStr">
        <is>
          <t>Changes merged from Martin Grandes' 25-Sep-2026 audio clarifying the sovereign-risk construction and the transition from WP-01 to WP-02.</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v6-01</t>
        </is>
      </c>
      <c r="B4" t="inlineStr">
        <is>
          <t>25-Sep-2026</t>
        </is>
      </c>
      <c r="C4" t="inlineStr">
        <is>
          <t>Definitive Sovereign Risk (BRL) definition</t>
        </is>
      </c>
      <c r="D4" t="inlineStr">
        <is>
          <t>MR-01, MR-02; MG-03, MG-11, MG-20; WP-02; Estimation Plan</t>
        </is>
      </c>
      <c r="E4" t="inlineStr">
        <is>
          <t>Resolved the conceptual ambiguity: the sovereign regressor is government-bond YTM minus the matched local risk-free/reference curve yield, not a CDS.</t>
        </is>
      </c>
    </row>
    <row r="5" ht="58" customHeight="1" s="40">
      <c r="A5" t="inlineStr">
        <is>
          <t>v6-02</t>
        </is>
      </c>
      <c r="B5" t="inlineStr">
        <is>
          <t>25-Sep-2026</t>
        </is>
      </c>
      <c r="C5" t="inlineStr">
        <is>
          <t>Synthetic CDS terminology removed from design</t>
        </is>
      </c>
      <c r="D5" t="inlineStr">
        <is>
          <t>MR-02; WP-02; Overlap Map; Estimation Plan</t>
        </is>
      </c>
      <c r="E5" t="inlineStr">
        <is>
          <t>Reclassified "synthetic CDS BRL" as a misnomer and required consistent renaming to Sovereign Risk (BRL) / local-currency sovereign spread.</t>
        </is>
      </c>
    </row>
    <row r="6" ht="58" customHeight="1" s="40">
      <c r="A6" t="inlineStr">
        <is>
          <t>v6-03</t>
        </is>
      </c>
      <c r="B6" t="inlineStr">
        <is>
          <t>25-Sep-2026</t>
        </is>
      </c>
      <c r="C6" t="inlineStr">
        <is>
          <t>Dependent-variable interpretation corrected</t>
        </is>
      </c>
      <c r="D6" t="inlineStr">
        <is>
          <t>MR-01; MG-11; WP-02</t>
        </is>
      </c>
      <c r="E6" t="inlineStr">
        <is>
          <t>Superseded the v5 ambiguity: Corporate YTM versus matched Sovereign YTM is an equivalent sovereign-ceiling framing/check, not a replacement for the corporate-spread dependent variable.</t>
        </is>
      </c>
    </row>
    <row r="7" ht="58" customHeight="1" s="40">
      <c r="A7" t="inlineStr">
        <is>
          <t>v6-04</t>
        </is>
      </c>
      <c r="B7" t="inlineStr">
        <is>
          <t>25-Sep-2026</t>
        </is>
      </c>
      <c r="C7" t="inlineStr">
        <is>
          <t>USD CDS 5Y main-model treatment</t>
        </is>
      </c>
      <c r="D7" t="inlineStr">
        <is>
          <t>MR-01, MR-02; MG-03, MG-20; Estimation Plan</t>
        </is>
      </c>
      <c r="E7" t="inlineStr">
        <is>
          <t>Recorded Martin's stronger instruction that the external USD sovereign CDS should not enter the main model.</t>
        </is>
      </c>
    </row>
    <row r="8" ht="58" customHeight="1" s="40">
      <c r="A8" t="inlineStr">
        <is>
          <t>v6-05</t>
        </is>
      </c>
      <c r="B8" t="inlineStr">
        <is>
          <t>25-Sep-2026</t>
        </is>
      </c>
      <c r="C8" t="inlineStr">
        <is>
          <t>WP-01 to WP-02 workflow handoff</t>
        </is>
      </c>
      <c r="D8" t="inlineStr">
        <is>
          <t>README; Dashboard; Revision Tracker; Action Sequence</t>
        </is>
      </c>
      <c r="E8" t="inlineStr">
        <is>
          <t>Marked the corporate-spread measurement audit as closed and activated the sovereign-risk code/formula audit as the current work package.</t>
        </is>
      </c>
    </row>
    <row r="9" ht="58" customHeight="1" s="40">
      <c r="A9" t="inlineStr">
        <is>
          <t>v6-06</t>
        </is>
      </c>
      <c r="B9" t="inlineStr">
        <is>
          <t>25-Sep-2026</t>
        </is>
      </c>
      <c r="C9" t="inlineStr">
        <is>
          <t>Implementation gate before re-estimation</t>
        </is>
      </c>
      <c r="D9" t="inlineStr">
        <is>
          <t>WP-02; Estimation Plan; Action Sequence</t>
        </is>
      </c>
      <c r="E9" t="inlineStr">
        <is>
          <t>Added an explicit pre-estimation gate: verify government-minus-reference formula, maturity/tenor matching and currency/indexation consistency in code before running the DK table.</t>
        </is>
      </c>
    </row>
    <row r="10" ht="58" customHeight="1" s="40">
      <c r="A10" t="inlineStr">
        <is>
          <t>v6-07</t>
        </is>
      </c>
      <c r="B10" t="inlineStr">
        <is>
          <t>25-Sep-2026</t>
        </is>
      </c>
      <c r="C10" t="inlineStr">
        <is>
          <t>Director traceability</t>
        </is>
      </c>
      <c r="D10" t="inlineStr">
        <is>
          <t>Director Guidance</t>
        </is>
      </c>
      <c r="E10" t="inlineStr">
        <is>
          <t>Added MG-20 with the definitive construction and strengthened earlier sovereign-risk guidance without erasing the historical record.</t>
        </is>
      </c>
    </row>
    <row r="11" ht="58" customHeight="1" s="40">
      <c r="A11" t="inlineStr">
        <is>
          <t>v6-08</t>
        </is>
      </c>
      <c r="B11" t="inlineStr">
        <is>
          <t>25-Sep-2026</t>
        </is>
      </c>
      <c r="C11" t="inlineStr">
        <is>
          <t>Source-of-truth reconciliation</t>
        </is>
      </c>
      <c r="D11" t="inlineStr">
        <is>
          <t>README; Master Matrix; Overlap Map; v6 Change Log</t>
        </is>
      </c>
      <c r="E11" t="inlineStr">
        <is>
          <t>Merged the latest audio into existing issues rather than creating duplicate jury items; v5 remains preserved as the prior snapshot.</t>
        </is>
      </c>
    </row>
    <row r="12" ht="58" customHeight="1" s="40"/>
    <row r="13" ht="58" customHeight="1" s="40"/>
  </sheetData>
  <mergeCells count="2">
    <mergeCell ref="A2:E2"/>
    <mergeCell ref="A1:E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v7 Change Log</t>
        </is>
      </c>
    </row>
    <row r="2" ht="34" customHeight="1" s="40">
      <c r="A2" s="48" t="inlineStr">
        <is>
          <t>Changes merged from Martin Grandes' 27-Sep-2026 audio clarifying the preferred two-spread specification, USD CDS status and SELIC referee check.</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v7-01</t>
        </is>
      </c>
      <c r="B4" t="inlineStr">
        <is>
          <t>27-Sep-2026</t>
        </is>
      </c>
      <c r="C4" t="inlineStr">
        <is>
          <t>USD CDS 5Y status</t>
        </is>
      </c>
      <c r="D4" t="inlineStr">
        <is>
          <t>MR-01, MR-02; MG-03, MG-20, MG-21; WP-02; Estimation Plan</t>
        </is>
      </c>
      <c r="E4" t="inlineStr">
        <is>
          <t>Corrected the record: USD CDS 5Y was never part of the economic model. The workbook now requires verification of absence rather than treating it as a possible secondary/main control.</t>
        </is>
      </c>
    </row>
    <row r="5" ht="58" customHeight="1" s="40">
      <c r="A5" t="inlineStr">
        <is>
          <t>v7-02</t>
        </is>
      </c>
      <c r="B5" t="inlineStr">
        <is>
          <t>27-Sep-2026</t>
        </is>
      </c>
      <c r="C5" t="inlineStr">
        <is>
          <t>Preferred common-reference two-spread model</t>
        </is>
      </c>
      <c r="D5" t="inlineStr">
        <is>
          <t>MR-01; MG-11, MG-20, MG-21; WP-02; Overlap Map; Action Sequence</t>
        </is>
      </c>
      <c r="E5" t="inlineStr">
        <is>
          <t>Specified Corporate Spread = corporate YTM - local reference yield and Sovereign Risk = government YTM - the same matched reference yield, kept as separate variables so the model estimates the response of corporate spread to sovereign risk.</t>
        </is>
      </c>
    </row>
    <row r="6" ht="58" customHeight="1" s="40">
      <c r="A6" t="inlineStr">
        <is>
          <t>v7-03</t>
        </is>
      </c>
      <c r="B6" t="inlineStr">
        <is>
          <t>27-Sep-2026</t>
        </is>
      </c>
      <c r="C6" t="inlineStr">
        <is>
          <t>Direct corporate-sovereign differential reclassified</t>
        </is>
      </c>
      <c r="D6" t="inlineStr">
        <is>
          <t>MR-01; MG-11; WP-02; Estimation Plan</t>
        </is>
      </c>
      <c r="E6" t="inlineStr">
        <is>
          <t>Replaced the earlier shorthand that the matched corporate-sovereign formulation was econometrically equivalent. It is a related alternative, but not the preferred specification.</t>
        </is>
      </c>
    </row>
    <row r="7" ht="58" customHeight="1" s="40">
      <c r="A7" t="inlineStr">
        <is>
          <t>v7-04</t>
        </is>
      </c>
      <c r="B7" t="inlineStr">
        <is>
          <t>27-Sep-2026</t>
        </is>
      </c>
      <c r="C7" t="inlineStr">
        <is>
          <t>Literature justification added</t>
        </is>
      </c>
      <c r="D7" t="inlineStr">
        <is>
          <t>MR-01, MR-02; WP-02; Action Sequence; Estimation Plan</t>
        </is>
      </c>
      <c r="E7" t="inlineStr">
        <is>
          <t>Added an explicit requirement to justify the common-reference two-spread transmission specification with literature before final re-estimation/write-up.</t>
        </is>
      </c>
    </row>
    <row r="8" ht="58" customHeight="1" s="40">
      <c r="A8" t="inlineStr">
        <is>
          <t>v7-05</t>
        </is>
      </c>
      <c r="B8" t="inlineStr">
        <is>
          <t>27-Sep-2026</t>
        </is>
      </c>
      <c r="C8" t="inlineStr">
        <is>
          <t>SELIC embedded in local curve</t>
        </is>
      </c>
      <c r="D8" t="inlineStr">
        <is>
          <t>MR-02, MR-04, MR-26; MG-10, MG-16, MG-21; WP-04</t>
        </is>
      </c>
      <c r="E8" t="inlineStr">
        <is>
          <t>Strengthened the explanation that SELIC anchors the short end of the local reference curve and its influence is already embedded in the curve used by the model.</t>
        </is>
      </c>
    </row>
    <row r="9" ht="58" customHeight="1" s="40">
      <c r="A9" t="inlineStr">
        <is>
          <t>v7-06</t>
        </is>
      </c>
      <c r="B9" t="inlineStr">
        <is>
          <t>27-Sep-2026</t>
        </is>
      </c>
      <c r="C9" t="inlineStr">
        <is>
          <t>SELIC 3M Forward is referee-only</t>
        </is>
      </c>
      <c r="D9" t="inlineStr">
        <is>
          <t>MR-04, MR-18; MG-16, MG-21; WP-04, WP-08; Estimation Plan</t>
        </is>
      </c>
      <c r="E9" t="inlineStr">
        <is>
          <t>Narrowed the SELIC 3M Forward exercise to an optional referee diagnostic. It is not a baseline extension and should be shown/published only if informative.</t>
        </is>
      </c>
    </row>
    <row r="10" ht="58" customHeight="1" s="40">
      <c r="A10" t="inlineStr">
        <is>
          <t>v7-07</t>
        </is>
      </c>
      <c r="B10" t="inlineStr">
        <is>
          <t>27-Sep-2026</t>
        </is>
      </c>
      <c r="C10" t="inlineStr">
        <is>
          <t>Director traceability</t>
        </is>
      </c>
      <c r="D10" t="inlineStr">
        <is>
          <t>Director Guidance</t>
        </is>
      </c>
      <c r="E10" t="inlineStr">
        <is>
          <t>Added MG-21 and updated earlier guidance rows to preserve the latest director interpretation without creating new juror issues or work packages.</t>
        </is>
      </c>
    </row>
    <row r="11" ht="58" customHeight="1" s="40">
      <c r="A11" t="inlineStr">
        <is>
          <t>v7-08</t>
        </is>
      </c>
      <c r="B11" t="inlineStr">
        <is>
          <t>27-Sep-2026</t>
        </is>
      </c>
      <c r="C11" t="inlineStr">
        <is>
          <t>Source-of-truth reconciliation</t>
        </is>
      </c>
      <c r="D11" t="inlineStr">
        <is>
          <t>README; Dashboard; Revision Tracker; Master Matrix; Overlap Map; Action Sequence; Process &amp; Deadlines</t>
        </is>
      </c>
      <c r="E11" t="inlineStr">
        <is>
          <t>Updated version/date/source notes and kept WP-02 as the active package; v6 remains preserved as the prior snapshot.</t>
        </is>
      </c>
    </row>
    <row r="12" ht="58" customHeight="1" s="40"/>
    <row r="13" ht="58" customHeight="1" s="40"/>
  </sheetData>
  <mergeCells count="2">
    <mergeCell ref="A2:E2"/>
    <mergeCell ref="A1:E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v8 Change Log</t>
        </is>
      </c>
    </row>
    <row r="2" ht="34" customHeight="1" s="40">
      <c r="A2" s="48" t="inlineStr">
        <is>
          <t>Changes from the 29-Sep-2026 nominal sovereign-risk implementation audit, exact-node interpolation fix, and WP-02 status reconciliation.</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v8-01</t>
        </is>
      </c>
      <c r="B4" t="inlineStr">
        <is>
          <t>29-Sep-2026</t>
        </is>
      </c>
      <c r="C4" t="inlineStr">
        <is>
          <t>Nominal sovereign implementation validated</t>
        </is>
      </c>
      <c r="D4" t="inlineStr">
        <is>
          <t>WP-02; MR-01, MR-02; Estimation Plan; Action Sequence</t>
        </is>
      </c>
      <c r="E4" t="inlineStr">
        <is>
          <t>Validated 252 LTN + 330 NTN-F observations (582 total): same-date DI benchmark at exact BUS/252 residual tenor, 0 missing benchmarks, 582/582 reproduced to numerical precision, and geometric spread arithmetic independently confirmed.</t>
        </is>
      </c>
    </row>
    <row r="5" ht="58" customHeight="1" s="40">
      <c r="A5" t="inlineStr">
        <is>
          <t>v8-02</t>
        </is>
      </c>
      <c r="B5" t="inlineStr">
        <is>
          <t>29-Sep-2026</t>
        </is>
      </c>
      <c r="C5" t="inlineStr">
        <is>
          <t>DI exact-node interpolation hardened</t>
        </is>
      </c>
      <c r="D5" t="inlineStr">
        <is>
          <t>Interpolation helper; WP-02 evidence</t>
        </is>
      </c>
      <c r="E5" t="inlineStr">
        <is>
          <t>Added an exact/near-node guard after identifying floating-point behavior when a requested tenor coincides with a raw DI market node. Regenerated outputs and re-audited the full sample.</t>
        </is>
      </c>
    </row>
    <row r="6" ht="58" customHeight="1" s="40">
      <c r="A6" t="inlineStr">
        <is>
          <t>v8-03</t>
        </is>
      </c>
      <c r="B6" t="inlineStr">
        <is>
          <t>29-Sep-2026</t>
        </is>
      </c>
      <c r="C6" t="inlineStr">
        <is>
          <t>WP-02 status split</t>
        </is>
      </c>
      <c r="D6" t="inlineStr">
        <is>
          <t>README; Dashboard; Revision Tracker; Master Matrix</t>
        </is>
      </c>
      <c r="E6" t="inlineStr">
        <is>
          <t>Kept WP-02 In progress while explicitly closing the implementation/code component. Remaining closure items are thesis terminology, equations/literature, USD CDS code-absence verification, and reference-curve/indexation reconciliation.</t>
        </is>
      </c>
    </row>
    <row r="7" ht="58" customHeight="1" s="40">
      <c r="A7" t="inlineStr">
        <is>
          <t>v8-04</t>
        </is>
      </c>
      <c r="B7" t="inlineStr">
        <is>
          <t>29-Sep-2026</t>
        </is>
      </c>
      <c r="C7" t="inlineStr">
        <is>
          <t>Common-reference wording flagged</t>
        </is>
      </c>
      <c r="D7" t="inlineStr">
        <is>
          <t>MR-01; WP-02; Overlap Map; Estimation Plan</t>
        </is>
      </c>
      <c r="E7" t="inlineStr">
        <is>
          <t>Flagged that the implemented corporate dependent variable is IPCA-linked and uses the real IPCA benchmark, while the validated nominal sovereign series uses LTN/NTN-F versus the DI curve. The thesis must reconcile this before claiming both spreads use an identical local reference curve.</t>
        </is>
      </c>
    </row>
    <row r="8" ht="58" customHeight="1" s="40">
      <c r="A8" t="inlineStr">
        <is>
          <t>v8-05</t>
        </is>
      </c>
      <c r="B8" t="inlineStr">
        <is>
          <t>29-Sep-2026</t>
        </is>
      </c>
      <c r="C8" t="inlineStr">
        <is>
          <t>Validation and Git milestone</t>
        </is>
      </c>
      <c r="D8" t="inlineStr">
        <is>
          <t>WP-02 evidence</t>
        </is>
      </c>
      <c r="E8" t="inlineStr">
        <is>
          <t>Full pytest suite passed 5/5 after the interpolation fix. Commit b551414 (Refactor nominal DI interpolation and sovereign spreads) was pushed to branch jury-revision-recalculate-corporate-spread.</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v9 Change Log</t>
        </is>
      </c>
    </row>
    <row r="2" ht="34" customHeight="1" s="40">
      <c r="A2" s="48" t="inlineStr">
        <is>
          <t>Changes from the 29-Sep-2026 WP-02 closure, thesis terminology/indexation cleanup, and workflow handoff to WP-03.</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v9-01</t>
        </is>
      </c>
      <c r="B4" t="inlineStr">
        <is>
          <t>29-Sep-2026</t>
        </is>
      </c>
      <c r="C4" t="inlineStr">
        <is>
          <t>WP-02 closed</t>
        </is>
      </c>
      <c r="D4" t="inlineStr">
        <is>
          <t>README; Dashboard; Revision Tracker; Master Matrix</t>
        </is>
      </c>
      <c r="E4" t="inlineStr">
        <is>
          <t>Closed WP-02 after validated 582/582 nominal sovereign observations, formula/unit tests, exact-node hardening, thesis terminology cleanup, and documentation of the nominal DI sovereign versus IPCA-real corporate benchmark distinction.</t>
        </is>
      </c>
    </row>
    <row r="5" ht="58" customHeight="1" s="40">
      <c r="A5" t="inlineStr">
        <is>
          <t>v9-02</t>
        </is>
      </c>
      <c r="B5" t="inlineStr">
        <is>
          <t>29-Sep-2026</t>
        </is>
      </c>
      <c r="C5" t="inlineStr">
        <is>
          <t>Sovereign variable terminology finalized</t>
        </is>
      </c>
      <c r="D5" t="inlineStr">
        <is>
          <t>WP-02; MR-01, MR-02; thesis edits</t>
        </is>
      </c>
      <c r="E5" t="inlineStr">
        <is>
          <t>Adopted sovereign_spread_brl / sovereign risk in local currency. Removed synthetic-CDS language from methodology, appendix, results labels, diagrams and Mermaid source; clarified that the measure is a local BRL sovereign spread, not a CDS.</t>
        </is>
      </c>
    </row>
    <row r="6" ht="58" customHeight="1" s="40">
      <c r="A6" t="inlineStr">
        <is>
          <t>v9-03</t>
        </is>
      </c>
      <c r="B6" t="inlineStr">
        <is>
          <t>29-Sep-2026</t>
        </is>
      </c>
      <c r="C6" t="inlineStr">
        <is>
          <t>Reference-curve/indexation wording reconciled</t>
        </is>
      </c>
      <c r="D6" t="inlineStr">
        <is>
          <t>MR-01; Overlap Map; Action Sequence</t>
        </is>
      </c>
      <c r="E6" t="inlineStr">
        <is>
          <t>Replaced the inaccurate claim that corporate and sovereign spreads use an identical reference curve. Corporate spread uses an IPCA-real matched benchmark; sovereign_spread_brl uses nominal LTN/NTN-F versus the DI reference curve. Each is matched to its own indexation/tenor.</t>
        </is>
      </c>
    </row>
    <row r="7" ht="58" customHeight="1" s="40">
      <c r="A7" t="inlineStr">
        <is>
          <t>v9-04</t>
        </is>
      </c>
      <c r="B7" t="inlineStr">
        <is>
          <t>29-Sep-2026</t>
        </is>
      </c>
      <c r="C7" t="inlineStr">
        <is>
          <t>WP-03 activated</t>
        </is>
      </c>
      <c r="D7" t="inlineStr">
        <is>
          <t>Revision Tracker; Dashboard; Action Sequence</t>
        </is>
      </c>
      <c r="E7" t="inlineStr">
        <is>
          <t>Set WP-03 to In progress. Next gate is to audit amount_issued_to_asset construction and within-bond variation before deciding whether it is identified in bond fixed effects.</t>
        </is>
      </c>
    </row>
    <row r="8" ht="58" customHeight="1" s="40">
      <c r="A8" t="inlineStr">
        <is>
          <t>v9-05</t>
        </is>
      </c>
      <c r="B8" t="inlineStr">
        <is>
          <t>29-Sep-2026</t>
        </is>
      </c>
      <c r="C8" t="inlineStr">
        <is>
          <t>Regression rerun deferred</t>
        </is>
      </c>
      <c r="D8" t="inlineStr">
        <is>
          <t>Estimation Plan; Action Sequence</t>
        </is>
      </c>
      <c r="E8" t="inlineStr">
        <is>
          <t>Confirmed sequencing: finish all explanatory-variable audits first, freeze the final panel, then rerun FE/Driscoll-Kraay once. USD CDS 5Y absence is retained only as a final pre-estimation integrity check and does not keep WP-02 open.</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v10 Change Log</t>
        </is>
      </c>
    </row>
    <row r="2" ht="34" customHeight="1" s="40">
      <c r="A2" s="48" t="inlineStr">
        <is>
          <t>Changes from the 30-Sep-2026 WP-03 issue-size audit closure, thesis consistency update, and workflow handoff to WP-04.</t>
        </is>
      </c>
    </row>
    <row r="3">
      <c r="A3" s="22" t="inlineStr">
        <is>
          <t>Change ID</t>
        </is>
      </c>
      <c r="B3" s="22" t="inlineStr">
        <is>
          <t>Date</t>
        </is>
      </c>
      <c r="C3" s="22" t="inlineStr">
        <is>
          <t>Topic</t>
        </is>
      </c>
      <c r="D3" s="22" t="inlineStr">
        <is>
          <t>Sheets / rows affected</t>
        </is>
      </c>
      <c r="E3" s="22" t="inlineStr">
        <is>
          <t>What changed</t>
        </is>
      </c>
    </row>
    <row r="4" ht="58" customHeight="1" s="40">
      <c r="A4" t="inlineStr">
        <is>
          <t>v10-01</t>
        </is>
      </c>
      <c r="B4" t="inlineStr">
        <is>
          <t>30-Sep-2026</t>
        </is>
      </c>
      <c r="C4" t="inlineStr">
        <is>
          <t>WP-03 closed</t>
        </is>
      </c>
      <c r="D4" t="inlineStr">
        <is>
          <t>README; Dashboard; Revision Tracker; Master Matrix; Action Sequence</t>
        </is>
      </c>
      <c r="E4" t="inlineStr">
        <is>
          <t>Closed the issue-size identification package after tracing AMT_ISSUED and BS_TOT_ASSET through the final panel, reconstructing 4,229/4,229 observations, and confirming within-bond variation for 98/103 bonds (95.15%).</t>
        </is>
      </c>
    </row>
    <row r="5" ht="58" customHeight="1" s="40">
      <c r="A5" t="inlineStr">
        <is>
          <t>v10-02</t>
        </is>
      </c>
      <c r="B5" t="inlineStr">
        <is>
          <t>30-Sep-2026</t>
        </is>
      </c>
      <c r="C5" t="inlineStr">
        <is>
          <t>Relative issue-size interpretation and units finalized</t>
        </is>
      </c>
      <c r="D5" t="inlineStr">
        <is>
          <t>MR-14; WP-03; Estimation Plan; thesis edits</t>
        </is>
      </c>
      <c r="E5" t="inlineStr">
        <is>
          <t>Retained amount_issued_to_bs_tot_asset as relative issue size rather than time-invariant amount issued; documented that within variation comes from quarterly issuer assets; standardized the scale as per-mille (‰) and the coefficient interpretation as relative size versus issuer scale.</t>
        </is>
      </c>
    </row>
    <row r="6" ht="58" customHeight="1" s="40">
      <c r="A6" t="inlineStr">
        <is>
          <t>v10-03</t>
        </is>
      </c>
      <c r="B6" t="inlineStr">
        <is>
          <t>30-Sep-2026</t>
        </is>
      </c>
      <c r="C6" t="inlineStr">
        <is>
          <t>Timing robustness documented</t>
        </is>
      </c>
      <c r="D6" t="inlineStr">
        <is>
          <t>WP-03; MR-14; Estimation Plan</t>
        </is>
      </c>
      <c r="E6" t="inlineStr">
        <is>
          <t>Constructed a one-quarter-lagged BS_TOT_ASSET denominator check: 4,223/4,229 observations available, correlation 0.9918 with the original ratio, and the same 98/103 bonds with within variation. Kept it as robustness rather than replacing the main regressor.</t>
        </is>
      </c>
    </row>
    <row r="7" ht="58" customHeight="1" s="40">
      <c r="A7" t="inlineStr">
        <is>
          <t>v10-04</t>
        </is>
      </c>
      <c r="B7" t="inlineStr">
        <is>
          <t>30-Sep-2026</t>
        </is>
      </c>
      <c r="C7" t="inlineStr">
        <is>
          <t>Thesis-side WP-03 consistency confirmed</t>
        </is>
      </c>
      <c r="D7" t="inlineStr">
        <is>
          <t>MR-14 thesis locations; Tables 3/7; Figure 3; Annex 8.6.2</t>
        </is>
      </c>
      <c r="E7" t="inlineStr">
        <is>
          <t>Confirmed the latest thesis aligns H6, methodology, FE identification, results, conclusions, tables, Figure 3 and the annex with the audited construction and cautious liquidity-proxy interpretation.</t>
        </is>
      </c>
    </row>
    <row r="8" ht="58" customHeight="1" s="40">
      <c r="A8" t="inlineStr">
        <is>
          <t>v10-05</t>
        </is>
      </c>
      <c r="B8" t="inlineStr">
        <is>
          <t>30-Sep-2026</t>
        </is>
      </c>
      <c r="C8" t="inlineStr">
        <is>
          <t>WP-04 activated</t>
        </is>
      </c>
      <c r="D8" t="inlineStr">
        <is>
          <t>README; Dashboard; Revision Tracker; Master Matrix; Action Sequence; Estimation Plan</t>
        </is>
      </c>
      <c r="E8" t="inlineStr">
        <is>
          <t>Set WP-04/MR-04 to In progress. Current task is the baseline SELIC non-inclusion rationale plus the bounded referee-only SELIC 3M Forward diagnostic(s). Final regression rerun remains deferred until the remaining explanatory-variable audits are complete.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v11 Change Log</t>
        </is>
      </c>
    </row>
    <row r="2" ht="34" customHeight="1" s="40">
      <c r="A2" s="48" t="inlineStr">
        <is>
          <t>Changes introduced on 1-Oct-2026 after inserting the WP-04 SELIC baseline non-inclusion rationale into thesis Section 4.5.3. WP-04 is not yet closed because the referee-only SELIC 3M Forward diagnostics remain pending.</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v11-01</t>
        </is>
      </c>
      <c r="B5" t="inlineStr">
        <is>
          <t>1-Oct-2026</t>
        </is>
      </c>
      <c r="C5" t="inlineStr">
        <is>
          <t>SELIC baseline rationale inserted</t>
        </is>
      </c>
      <c r="D5" t="inlineStr">
        <is>
          <t>WP-04; MR-04; thesis Sec. 4.5.3</t>
        </is>
      </c>
      <c r="E5" t="inlineStr">
        <is>
          <t>Added an explicit rationale immediately after Fed 3M Forward: SELIC is excluded from the baseline because domestic monetary conditions are partly embedded in the short end of the local reference curve and may overlap with the external-rate/FX block.</t>
        </is>
      </c>
    </row>
    <row r="6" ht="58" customHeight="1" s="40">
      <c r="A6" t="inlineStr">
        <is>
          <t>v11-02</t>
        </is>
      </c>
      <c r="B6" t="inlineStr">
        <is>
          <t>1-Oct-2026</t>
        </is>
      </c>
      <c r="C6" t="inlineStr">
        <is>
          <t>WP-04 remains open</t>
        </is>
      </c>
      <c r="D6" t="inlineStr">
        <is>
          <t>Dashboard; Revision Tracker; Action Sequence</t>
        </is>
      </c>
      <c r="E6" t="inlineStr">
        <is>
          <t>Did not close WP-04. Remaining gate is to identify/audit the SELIC 3M Forward series and run the two scoped referee-only diagnostics before moving to WP-05.</t>
        </is>
      </c>
    </row>
    <row r="7" ht="58" customHeight="1" s="40">
      <c r="A7" t="inlineStr">
        <is>
          <t>v11-03</t>
        </is>
      </c>
      <c r="B7" t="inlineStr">
        <is>
          <t>1-Oct-2026</t>
        </is>
      </c>
      <c r="C7" t="inlineStr">
        <is>
          <t>SELIC diagnostic scope preserved</t>
        </is>
      </c>
      <c r="D7" t="inlineStr">
        <is>
          <t>Estimation Plan</t>
        </is>
      </c>
      <c r="E7" t="inlineStr">
        <is>
          <t>Model 5: include SELIC 3M Forward and retain nominal FED3M; Model 6: include SELIC 3M Forward and omit FED3M. Both omit FX and Sovereign Risk (BRL). Review correlations/VIF and incremental information before deciding whether to report.</t>
        </is>
      </c>
    </row>
    <row r="8" ht="58" customHeight="1" s="40"/>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v12 Change Log</t>
        </is>
      </c>
    </row>
    <row r="2" ht="34" customHeight="1" s="40">
      <c r="A2" s="48" t="inlineStr">
        <is>
          <t>Changes introduced on 1-Oct-2026 after identifying, validating, downloading and documenting the Brazil 3M DI referee-only robustness proxy for WP-04. WP-04 remains open pending panel merge, diagnostics and Models 5-6.</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v12-01</t>
        </is>
      </c>
      <c r="B5" t="inlineStr">
        <is>
          <t>1-Oct-2026</t>
        </is>
      </c>
      <c r="C5" t="inlineStr">
        <is>
          <t>Brazil 3M DI proxy identified</t>
        </is>
      </c>
      <c r="D5" t="inlineStr">
        <is>
          <t>WP-04; MR-04; Estimation Plan</t>
        </is>
      </c>
      <c r="E5" t="inlineStr">
        <is>
          <t>Operationalized the referee-only domestic short-rate proxy as the 3M point of Bloomberg BM&amp;F Pre x DI curve YCSW0089 Index. Explicitly distinguished it from a literal 3Mx6M forward-starting SELIC rate.</t>
        </is>
      </c>
    </row>
    <row r="6" ht="58" customHeight="1" s="40">
      <c r="A6" t="inlineStr">
        <is>
          <t>v12-02</t>
        </is>
      </c>
      <c r="B6" t="inlineStr">
        <is>
          <t>1-Oct-2026</t>
        </is>
      </c>
      <c r="C6" t="inlineStr">
        <is>
          <t>Historical series downloaded</t>
        </is>
      </c>
      <c r="D6" t="inlineStr">
        <is>
          <t>WP-04; data acquisition</t>
        </is>
      </c>
      <c r="E6" t="inlineStr">
        <is>
          <t>Validated YCSW0089 Index 3M in BQNT and downloaded the complete monthly Dec-2010 to Dec-2025 series. Historical DI curve-member tickers were retained for auditability.</t>
        </is>
      </c>
    </row>
    <row r="7" ht="58" customHeight="1" s="40">
      <c r="A7" t="inlineStr">
        <is>
          <t>v12-03</t>
        </is>
      </c>
      <c r="B7" t="inlineStr">
        <is>
          <t>1-Oct-2026</t>
        </is>
      </c>
      <c r="C7" t="inlineStr">
        <is>
          <t>Reproducibility package added</t>
        </is>
      </c>
      <c r="D7" t="inlineStr">
        <is>
          <t>WP-04; data documentation</t>
        </is>
      </c>
      <c r="E7" t="inlineStr">
        <is>
          <t>Created TFM_WP04_Brazil_3M_DI_YCSW0089.ipynb and README.md documenting Bloomberg/BQL source, units, construction, terminology, and intended referee-only use.</t>
        </is>
      </c>
    </row>
    <row r="8" ht="58" customHeight="1" s="40">
      <c r="A8" t="inlineStr">
        <is>
          <t>v12-04</t>
        </is>
      </c>
      <c r="B8" t="inlineStr">
        <is>
          <t>1-Oct-2026</t>
        </is>
      </c>
      <c r="C8" t="inlineStr">
        <is>
          <t>WP-04 remains open</t>
        </is>
      </c>
      <c r="D8" t="inlineStr">
        <is>
          <t>Dashboard; Revision Tracker; Action Sequence; Estimation Plan</t>
        </is>
      </c>
      <c r="E8" t="inlineStr">
        <is>
          <t>Data acquisition is complete, but WP-04 is not closed. Remaining gate: merge brazil_3m_di into the panel, validate date/scaling consistency, review correlations/VIF, run Model 5 and Model 6, and assess incremental information before reporting.</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v13 Change Log</t>
        </is>
      </c>
    </row>
    <row r="2" ht="34" customHeight="1" s="40">
      <c r="A2" s="48" t="inlineStr">
        <is>
          <t>Changes introduced on 1-Oct-2026 after adopting the Econometric Panel Data Freeze Gate. WP-04 data/rationale preparation is complete but its regression stage is parked until post-freeze robustness; WP-06 / MR-09 (VIX) is now the active audit.</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8" customHeight="1" s="40">
      <c r="A5" t="inlineStr">
        <is>
          <t>v13-01</t>
        </is>
      </c>
      <c r="B5" t="inlineStr">
        <is>
          <t>1-Oct-2026</t>
        </is>
      </c>
      <c r="C5" t="inlineStr">
        <is>
          <t>Econometric Panel Data Freeze Gate adopted</t>
        </is>
      </c>
      <c r="D5" t="inlineStr">
        <is>
          <t>README; Dashboard; Action Sequence; Estimation Plan</t>
        </is>
      </c>
      <c r="E5" t="inlineStr">
        <is>
          <t>Final baseline, diagnostics and robustness regressions are blocked until all baseline explanatory-variable audits are closed or explicitly accepted unchanged and panel_main_and_robustness.xlsx is rebuilt/frozen as the authoritative input.</t>
        </is>
      </c>
    </row>
    <row r="6" ht="58" customHeight="1" s="40">
      <c r="A6" t="inlineStr">
        <is>
          <t>v13-02</t>
        </is>
      </c>
      <c r="B6" t="inlineStr">
        <is>
          <t>1-Oct-2026</t>
        </is>
      </c>
      <c r="C6" t="inlineStr">
        <is>
          <t>WP-04 regression stage parked</t>
        </is>
      </c>
      <c r="D6" t="inlineStr">
        <is>
          <t>WP-04; MR-04; Estimation Plan</t>
        </is>
      </c>
      <c r="E6" t="inlineStr">
        <is>
          <t>Kept the completed SELIC rationale and Brazil 3M DI data/reproducibility package, but changed the regression-dependent stage to Deferred. Models 5-6 will run only after the data freeze and core baseline rerun.</t>
        </is>
      </c>
    </row>
    <row r="7" ht="58" customHeight="1" s="40">
      <c r="A7" t="inlineStr">
        <is>
          <t>v13-03</t>
        </is>
      </c>
      <c r="B7" t="inlineStr">
        <is>
          <t>1-Oct-2026</t>
        </is>
      </c>
      <c r="C7" t="inlineStr">
        <is>
          <t>VIX audit activated</t>
        </is>
      </c>
      <c r="D7" t="inlineStr">
        <is>
          <t>WP-06; MR-09; Dashboard; Estimation Plan</t>
        </is>
      </c>
      <c r="E7" t="inlineStr">
        <is>
          <t>Activated VIX as the current explanatory-variable audit. Required sequence is source/ticker -&gt; raw series -&gt; monthly convention -&gt; panel match -&gt; transformation/scaling -&gt; economic label; final sign interpretation waits for post-freeze DK results.</t>
        </is>
      </c>
    </row>
    <row r="8" ht="58" customHeight="1" s="40">
      <c r="A8" t="inlineStr">
        <is>
          <t>v13-04</t>
        </is>
      </c>
      <c r="B8" t="inlineStr">
        <is>
          <t>1-Oct-2026</t>
        </is>
      </c>
      <c r="C8" t="inlineStr">
        <is>
          <t>Estimation sequence revised to avoid rework</t>
        </is>
      </c>
      <c r="D8" t="inlineStr">
        <is>
          <t>Revision Tracker; Action Sequence; Estimation Plan</t>
        </is>
      </c>
      <c r="E8" t="inlineStr">
        <is>
          <t>New sequence: audit/finalize explanatory variables -&gt; freeze authoritative panel -&gt; rerun baseline FE-DK once -&gt; diagnostics -&gt; targeted robustness, including the referee-only Brazil 3M DI exercise.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v14 Change Log</t>
        </is>
      </c>
    </row>
    <row r="2" ht="38" customHeight="1" s="40">
      <c r="A2" s="48" t="inlineStr">
        <is>
          <t>Changes introduced on 2-Oct-2026 after completing the pre-freeze VIX data/proxy audit, correcting the thesis VIX/H1 wording, and continuing the Econometric Panel Data Freeze Gate with the remaining baseline-regressor audits.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v14-01</t>
        </is>
      </c>
      <c r="B5" t="inlineStr">
        <is>
          <t>2-Oct-2026</t>
        </is>
      </c>
      <c r="C5" t="inlineStr">
        <is>
          <t>VIX source and monthly-history audit completed</t>
        </is>
      </c>
      <c r="D5" t="inlineStr">
        <is>
          <t>WP-06; MR-09; README; Dashboard</t>
        </is>
      </c>
      <c r="E5" t="inlineStr">
        <is>
          <t>Confirmed macro_explanatory_variables.xlsx / VIX Index. Bloomberg field metadata is not preserved in the values-only workbook. Independent validation found 187/187 monthly values from Jan-2010 to Jul-2025 equal to FRED VIXCLS at the last available daily close; workbook dates use the last weekday of each month as the monthly label.</t>
        </is>
      </c>
    </row>
    <row r="6" ht="64" customHeight="1" s="40">
      <c r="A6" t="inlineStr">
        <is>
          <t>v14-02</t>
        </is>
      </c>
      <c r="B6" t="inlineStr">
        <is>
          <t>2-Oct-2026</t>
        </is>
      </c>
      <c r="C6" t="inlineStr">
        <is>
          <t>VIX panel mapping and scaling validated</t>
        </is>
      </c>
      <c r="D6" t="inlineStr">
        <is>
          <t>WP-06; MR-09; Estimation Plan</t>
        </is>
      </c>
      <c r="E6" t="inlineStr">
        <is>
          <t>Matched 4,229/4,229 panel rows exactly across 164 distinct panel months, with no missing or conflicting within-month VIX values. Stata uses VIX in raw index points; no log, standardization, divide-by-100 or differencing is applied.</t>
        </is>
      </c>
    </row>
    <row r="7" ht="64" customHeight="1" s="40">
      <c r="A7" t="inlineStr">
        <is>
          <t>v14-03</t>
        </is>
      </c>
      <c r="B7" t="inlineStr">
        <is>
          <t>2-Oct-2026</t>
        </is>
      </c>
      <c r="C7" t="inlineStr">
        <is>
          <t>VIX terminology and H1 framing corrected</t>
        </is>
      </c>
      <c r="D7" t="inlineStr">
        <is>
          <t>WP-06; MR-09; thesis Sections 3-5</t>
        </is>
      </c>
      <c r="E7" t="inlineStr">
        <is>
          <t>Reframed VIX as expected 30-day S&amp;P 500 implied volatility used as a parsimonious proxy for global financial stress, not pure risk aversion. H1/Table 1 and VIX result labels were updated accordingly while preserving the positive ex-ante sign prediction.</t>
        </is>
      </c>
    </row>
    <row r="8" ht="64" customHeight="1" s="40">
      <c r="A8" t="inlineStr">
        <is>
          <t>v14-04</t>
        </is>
      </c>
      <c r="B8" t="inlineStr">
        <is>
          <t>2-Oct-2026</t>
        </is>
      </c>
      <c r="C8" t="inlineStr">
        <is>
          <t>Data Freeze Gate handed to remaining regressors</t>
        </is>
      </c>
      <c r="D8" t="inlineStr">
        <is>
          <t>Dashboard; Action Sequence; Estimation Plan</t>
        </is>
      </c>
      <c r="E8" t="inlineStr">
        <is>
          <t>MR-09 remains In progress only for post-freeze raw/partial correlations and final DK sign/H1 interpretation. No final sign narrative is accepted yet. Continue the pre-freeze audit with nominal Fed 3M Forward, then the remaining baseline regressors; do not rerun final baseline or robustness models before the gate passes.</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v15 Change Log</t>
        </is>
      </c>
    </row>
    <row r="2" ht="38" customHeight="1" s="40">
      <c r="A2" s="48" t="inlineStr">
        <is>
          <t>Changes introduced on 2-Oct-2026 after identifying and independently validating the Bloomberg source for nominal Fed 3M Forward and completing the raw-series and monthly-convention stages of the Data Freeze Gate.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v15-01</t>
        </is>
      </c>
      <c r="B5" t="inlineStr">
        <is>
          <t>2-Oct-2026</t>
        </is>
      </c>
      <c r="C5" t="inlineStr">
        <is>
          <t>Fed 3M Forward Bloomberg source identified</t>
        </is>
      </c>
      <c r="D5" t="inlineStr">
        <is>
          <t>WP-06; MR-09; Estimation Plan</t>
        </is>
      </c>
      <c r="E5" t="inlineStr">
        <is>
          <t>Identified the baseline panel series as Bloomberg USSOC Curncy, field PX_LAST, the 3M USD OIS fixed rate. BQNT reproduces panel spot-check values exactly to four decimals. FEDL01 Index is explicitly rejected as the source because it is the effective Fed Funds rate and does not match the panel series.</t>
        </is>
      </c>
    </row>
    <row r="6" ht="64" customHeight="1" s="40">
      <c r="A6" t="inlineStr">
        <is>
          <t>v15-02</t>
        </is>
      </c>
      <c r="B6" t="inlineStr">
        <is>
          <t>2-Oct-2026</t>
        </is>
      </c>
      <c r="C6" t="inlineStr">
        <is>
          <t>Fed raw-series audit completed</t>
        </is>
      </c>
      <c r="D6" t="inlineStr">
        <is>
          <t>WP-06; MR-09</t>
        </is>
      </c>
      <c r="E6" t="inlineStr">
        <is>
          <t>Validated the native daily USSOC Curncy history over 2010-2025. The series is quoted in percentage points, has normal non-quotation-day gaps, and provides continuous coverage across the thesis sample.</t>
        </is>
      </c>
    </row>
    <row r="7" ht="64" customHeight="1" s="40">
      <c r="A7" t="inlineStr">
        <is>
          <t>v15-03</t>
        </is>
      </c>
      <c r="B7" t="inlineStr">
        <is>
          <t>2-Oct-2026</t>
        </is>
      </c>
      <c r="C7" t="inlineStr">
        <is>
          <t>Fed monthly convention validated</t>
        </is>
      </c>
      <c r="D7" t="inlineStr">
        <is>
          <t>WP-06; MR-09</t>
        </is>
      </c>
      <c r="E7" t="inlineStr">
        <is>
          <t>Validated calendar-month-end extraction with the previous available quote used when month-end is not a quotation day. The resulting 2011 monthly values reproduce the panel exactly, including months whose panel date is the last business day.</t>
        </is>
      </c>
    </row>
    <row r="8" ht="64" customHeight="1" s="40">
      <c r="A8" t="inlineStr">
        <is>
          <t>v15-04</t>
        </is>
      </c>
      <c r="B8" t="inlineStr">
        <is>
          <t>2-Oct-2026</t>
        </is>
      </c>
      <c r="C8" t="inlineStr">
        <is>
          <t>Fed reproducibility package archived; audit remains open</t>
        </is>
      </c>
      <c r="D8" t="inlineStr">
        <is>
          <t>WP-06; MR-09; Dashboard; Action Sequence</t>
        </is>
      </c>
      <c r="E8" t="inlineStr">
        <is>
          <t>Committed the BQNT replication notebook and README in fb7748d under datos_y_modelos/db/brazil_macroeconomic_data/fed_3m_forward/. MR-09 remains In progress: Step 4 full-sample panel match, Step 5 transformation/scaling and Step 6 economic-label review still precede panel freeze and any regression rerun.</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v16 Change Log</t>
        </is>
      </c>
    </row>
    <row r="2" ht="38" customHeight="1" s="40">
      <c r="A2" s="48" t="inlineStr">
        <is>
          <t>Changes introduced on 2-Oct-2026 after completing the full six-step Fed 3M Forward Data Freeze audit, closing MR-09 as a proxy/data-definition issue, and handing the pre-freeze sequence to USD/BRL and the remaining baseline regressors.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v16-01</t>
        </is>
      </c>
      <c r="B5" t="inlineStr">
        <is>
          <t>2-Oct-2026</t>
        </is>
      </c>
      <c r="C5" t="inlineStr">
        <is>
          <t>Fed full-sample panel match passed</t>
        </is>
      </c>
      <c r="D5" t="inlineStr">
        <is>
          <t>WP-06; MR-09; Data Freeze Gate</t>
        </is>
      </c>
      <c r="E5" t="inlineStr">
        <is>
          <t>Compared every distinct panel month to Bloomberg USSOC Curncy / PX_LAST by calendar month: 164/164 matched, 0 missing Bloomberg rows, 164 exact matches, 0 mismatches, maximum absolute difference 0.0.</t>
        </is>
      </c>
    </row>
    <row r="6" ht="64" customHeight="1" s="40">
      <c r="A6" t="inlineStr">
        <is>
          <t>v16-02</t>
        </is>
      </c>
      <c r="B6" t="inlineStr">
        <is>
          <t>2-Oct-2026</t>
        </is>
      </c>
      <c r="C6" t="inlineStr">
        <is>
          <t>Fed transformation/scaling validated</t>
        </is>
      </c>
      <c r="D6" t="inlineStr">
        <is>
          <t>WP-06; MR-09; Estimation Plan</t>
        </is>
      </c>
      <c r="E6" t="inlineStr">
        <is>
          <t>Confirmed the baseline uses fed_3m_forward directly in Bloomberg native percentage-point units. No divide-by-100, multiply-by-100, log, standardization or z-score is applied; D.fed_3m_forward is created only for the separate macro-differences robustness specification.</t>
        </is>
      </c>
    </row>
    <row r="7" ht="64" customHeight="1" s="40">
      <c r="A7" t="inlineStr">
        <is>
          <t>v16-03</t>
        </is>
      </c>
      <c r="B7" t="inlineStr">
        <is>
          <t>2-Oct-2026</t>
        </is>
      </c>
      <c r="C7" t="inlineStr">
        <is>
          <t>Fed economic label corrected without renaming shorthand</t>
        </is>
      </c>
      <c r="D7" t="inlineStr">
        <is>
          <t>WP-06; MR-09; thesis Sec. 4.5.3</t>
        </is>
      </c>
      <c r="E7" t="inlineStr">
        <is>
          <t>Retained “Fed 3M Forward” as the intuitive thesis-facing shorthand, but replaced the inaccurate forward-curve construction text with the exact definition: Bloomberg USSOC Curncy / PX_LAST, 3M USD OIS fixed rate referencing EFFR, last available monthly close, forward-looking in economic content but not a forward-starting rate.</t>
        </is>
      </c>
    </row>
    <row r="8" ht="64" customHeight="1" s="40">
      <c r="A8" t="inlineStr">
        <is>
          <t>v16-04</t>
        </is>
      </c>
      <c r="B8" t="inlineStr">
        <is>
          <t>2-Oct-2026</t>
        </is>
      </c>
      <c r="C8" t="inlineStr">
        <is>
          <t>MR-09 closed; Data Freeze Gate moves to USD/BRL</t>
        </is>
      </c>
      <c r="D8" t="inlineStr">
        <is>
          <t>MR-09; WP-06; Dashboard; Action Sequence</t>
        </is>
      </c>
      <c r="E8" t="inlineStr">
        <is>
          <t>Closed MR-09 as a VIX/global-proxy data-definition issue after the VIX audit and companion Fed six-step audit. Post-freeze raw/partial correlations and final VIX sign/H1 interpretation are consolidated under MR-18/MR-19. WP-06 remains the active Data Freeze Gate container, with USD/BRL next; no final regression rerun yet.</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v17 Change Log</t>
        </is>
      </c>
    </row>
    <row r="2" ht="38" customHeight="1" s="40">
      <c r="A2" s="48" t="inlineStr">
        <is>
          <t>Changes introduced on 2-Oct-2026 after completing the six-step nominal USD/BRL Data Freeze audit, documenting its provenance limitation, and handing the pre-freeze sequence to GDP YoY while preserving the separate RER audit dependency.</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64" customHeight="1" s="40">
      <c r="A5" t="inlineStr">
        <is>
          <t>v17-01</t>
        </is>
      </c>
      <c r="B5" t="inlineStr">
        <is>
          <t>2-Oct-2026</t>
        </is>
      </c>
      <c r="C5" t="inlineStr">
        <is>
          <t>USD/BRL source, raw series and month-end convention validated</t>
        </is>
      </c>
      <c r="D5" t="inlineStr">
        <is>
          <t>WP-06; Data Freeze Gate; Estimation Plan</t>
        </is>
      </c>
      <c r="E5" t="inlineStr">
        <is>
          <t>Macro workbook identifies “USDBRL Spot Exchange Rate - Price of 1 USD in BRL” / USDBRL Curncy. Original Bloomberg formula/raw source layer is not retained and repo search found no second ticker trace. Thesis-window source series has 187 uninterrupted monthly observations Jan-2010 to Jul-2025, no zeros/blanks/duplicate months, and all dates are the last weekday of the month.</t>
        </is>
      </c>
    </row>
    <row r="6" ht="64" customHeight="1" s="40">
      <c r="A6" t="inlineStr">
        <is>
          <t>v17-02</t>
        </is>
      </c>
      <c r="B6" t="inlineStr">
        <is>
          <t>2-Oct-2026</t>
        </is>
      </c>
      <c r="C6" t="inlineStr">
        <is>
          <t>USD/BRL full panel match passed</t>
        </is>
      </c>
      <c r="D6" t="inlineStr">
        <is>
          <t>WP-06; Data Freeze Gate</t>
        </is>
      </c>
      <c r="E6" t="inlineStr">
        <is>
          <t>Panel ts.usd_brl contains 0 blanks across 4,229 rows and 164 unique months (Dec-2010 to Jun-2025). Each month has one common FX value; no panel months are absent from the macro source; month-by-month comparison produced 0 mismatches.</t>
        </is>
      </c>
    </row>
    <row r="7" ht="64" customHeight="1" s="40">
      <c r="A7" t="inlineStr">
        <is>
          <t>v17-03</t>
        </is>
      </c>
      <c r="B7" t="inlineStr">
        <is>
          <t>2-Oct-2026</t>
        </is>
      </c>
      <c r="C7" t="inlineStr">
        <is>
          <t>USD/BRL scaling and economic label validated</t>
        </is>
      </c>
      <c r="D7" t="inlineStr">
        <is>
          <t>WP-06; Estimation Plan; thesis FX wording</t>
        </is>
      </c>
      <c r="E7" t="inlineStr">
        <is>
          <t>Baseline Stata uses usd_brl directly in nominal BRL-per-USD levels, with no log, /100, *100, z-score or standardization. D_usd_brl = D.usd_brl exists only for the macro-differences robustness. Economic label frozen as nominal USD/BRL (BRL per USD), month-end spot; an increase denotes BRL depreciation.</t>
        </is>
      </c>
    </row>
    <row r="8" ht="64" customHeight="1" s="40">
      <c r="A8" t="inlineStr">
        <is>
          <t>v17-04</t>
        </is>
      </c>
      <c r="B8" t="inlineStr">
        <is>
          <t>2-Oct-2026</t>
        </is>
      </c>
      <c r="C8" t="inlineStr">
        <is>
          <t>Data Freeze Gate moves to GDP YoY; RER dependency preserved</t>
        </is>
      </c>
      <c r="D8" t="inlineStr">
        <is>
          <t>Dashboard; Revision Tracker; Action Sequence; Estimation Plan</t>
        </is>
      </c>
      <c r="E8" t="inlineStr">
        <is>
          <t>Next audit is GDP YoY under the same six-step sequence. No final regressions may be rerun yet. The completed nominal NER audit does not validate RER; if RER replaces NER in the final core table, RER must be audited separately before panel freeze.</t>
        </is>
      </c>
    </row>
    <row r="9" ht="58" customHeight="1" s="40"/>
    <row r="10" ht="58" customHeight="1" s="40"/>
    <row r="11" ht="58" customHeight="1" s="40"/>
    <row r="12" ht="58" customHeight="1" s="40"/>
    <row r="13" ht="58" customHeight="1" s="40"/>
  </sheetData>
  <mergeCells count="2">
    <mergeCell ref="A2:E2"/>
    <mergeCell ref="A1:E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v18 Change Log</t>
        </is>
      </c>
    </row>
    <row r="2" ht="38" customHeight="1" s="40">
      <c r="A2" s="48" t="inlineStr">
        <is>
          <t>Changes introduced on 2-Oct-2026 after integrating the Zoom meeting with Martin Grandes: updated scope, liquidity/rating guidance, DK/PCSE technical framing, pricing-data robustness and the 10-Oct delivery / week-of-13-Oct review sequence.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0" customHeight="1" s="40">
      <c r="A5" t="inlineStr">
        <is>
          <t>v18-01</t>
        </is>
      </c>
      <c r="B5" t="inlineStr">
        <is>
          <t>2-Oct-2026</t>
        </is>
      </c>
      <c r="C5" t="inlineStr">
        <is>
          <t>Director meeting integrated and revision scope reset</t>
        </is>
      </c>
      <c r="D5" t="inlineStr">
        <is>
          <t>README; Director Guidance; Action Sequence</t>
        </is>
      </c>
      <c r="E5" t="inlineStr">
        <is>
          <t>Not every jury suggestion requires a new regression. Preserve the Data Freeze Gate, prioritize the data/econometric contribution, and map each comment to change, diagnostic, descriptive evidence, defense answer or reasoned non-change.</t>
        </is>
      </c>
    </row>
    <row r="6" ht="50" customHeight="1" s="40">
      <c r="A6" t="inlineStr">
        <is>
          <t>v18-02</t>
        </is>
      </c>
      <c r="B6" t="inlineStr">
        <is>
          <t>2-Oct-2026</t>
        </is>
      </c>
      <c r="C6" t="inlineStr">
        <is>
          <t>Liquidity proxy interpretation reaffirmed</t>
        </is>
      </c>
      <c r="D6" t="inlineStr">
        <is>
          <t>WP-03; MR-14; Estimation Plan</t>
        </is>
      </c>
      <c r="E6" t="inlineStr">
        <is>
          <t>Keep AMT_ISSUED / BS_TOT_ASSET. The numerator is static but quarterly assets create within-bond variation. Frame it as relative issue size / primary issuance-liquidity; turnover/amount-outstanding is conceptually cleaner for secondary liquidity but likely sparse/zero-heavy.</t>
        </is>
      </c>
    </row>
    <row r="7" ht="50" customHeight="1" s="40">
      <c r="A7" t="inlineStr">
        <is>
          <t>v18-03</t>
        </is>
      </c>
      <c r="B7" t="inlineStr">
        <is>
          <t>2-Oct-2026</t>
        </is>
      </c>
      <c r="C7" t="inlineStr">
        <is>
          <t>VIX and Brazil 3M DI roles confirmed</t>
        </is>
      </c>
      <c r="D7" t="inlineStr">
        <is>
          <t>MR-09; MR-04; WP-04; WP-06</t>
        </is>
      </c>
      <c r="E7" t="inlineStr">
        <is>
          <t>Retain VIX and defend it with literature; no proxy replacement is required solely for the review. Keep Brazil 3M DI/SELIC outside the baseline and run it only post-freeze as the specified robustness exercise with FED3M retained versus omitted.</t>
        </is>
      </c>
    </row>
    <row r="8" ht="50" customHeight="1" s="40">
      <c r="A8" t="inlineStr">
        <is>
          <t>v18-04</t>
        </is>
      </c>
      <c r="B8" t="inlineStr">
        <is>
          <t>2-Oct-2026</t>
        </is>
      </c>
      <c r="C8" t="inlineStr">
        <is>
          <t>DK/PCSE inference framing tightened</t>
        </is>
      </c>
      <c r="D8" t="inlineStr">
        <is>
          <t>MR-16; MR-17; MR-23; WP-07; Estimation Plan</t>
        </is>
      </c>
      <c r="E8" t="inlineStr">
        <is>
          <t>Main output remains bond FE with Driscoll-Kraay covariance/SE. Explicitly distinguish FE coefficient estimation from covariance treatment, document the heteroskedasticity/serial/cross-sectional-dependence rationale, and keep PCSE/plain-FE alternatives appendix/internal only.</t>
        </is>
      </c>
    </row>
    <row r="9" ht="50" customHeight="1" s="40">
      <c r="A9" t="inlineStr">
        <is>
          <t>v18-05</t>
        </is>
      </c>
      <c r="B9" t="inlineStr">
        <is>
          <t>2-Oct-2026</t>
        </is>
      </c>
      <c r="C9" t="inlineStr">
        <is>
          <t>Ratings scope narrowed to descriptive evidence</t>
        </is>
      </c>
      <c r="D9" t="inlineStr">
        <is>
          <t>MR-06; MR-07; WP-05; Dashboard</t>
        </is>
      </c>
      <c r="E9" t="inlineStr">
        <is>
          <t>Minimum response is a sourced table/column of long-term local-currency issuer ratings. Do not assume all issuers are AA/AAA. Rating/sector interactions and issuer/bond slopes are optional only if powered and useful after the core estimates.</t>
        </is>
      </c>
    </row>
    <row r="10" ht="50" customHeight="1" s="40">
      <c r="A10" t="inlineStr">
        <is>
          <t>v18-06</t>
        </is>
      </c>
      <c r="B10" t="inlineStr">
        <is>
          <t>2-Oct-2026</t>
        </is>
      </c>
      <c r="C10" t="inlineStr">
        <is>
          <t>Pricing-data QA expanded</t>
        </is>
      </c>
      <c r="D10" t="inlineStr">
        <is>
          <t>MR-25; WP-09; Estimation Plan</t>
        </is>
      </c>
      <c r="E10" t="inlineStr">
        <is>
          <t>Before panel freeze, attempt the corrected baseline without prior-value fill-forward and choose the authoritative missing-price rule. If no-fill coverage is impractical, justify carry-forward and retain the alternative as sensitivity. Document Bloomberg BVAL/Bival indicative/model pricing and its exclusion/handling explicitly.</t>
        </is>
      </c>
    </row>
    <row r="11" ht="50" customHeight="1" s="40">
      <c r="A11" t="inlineStr">
        <is>
          <t>v18-07</t>
        </is>
      </c>
      <c r="B11" t="inlineStr">
        <is>
          <t>2-Oct-2026</t>
        </is>
      </c>
      <c r="C11" t="inlineStr">
        <is>
          <t>Delivery target and deck sequence updated</t>
        </is>
      </c>
      <c r="D11" t="inlineStr">
        <is>
          <t>Process &amp; Deadlines; WP-08; WP-16; Action Sequence; Estimation Plan</t>
        </is>
      </c>
      <c r="E11" t="inlineStr">
        <is>
          <t>Old 30-Sep target superseded. Send corrected post-freeze DK regressions, agreed robustness/sensitivity results and an updated presentation to Martin by 10-Oct-2026; review together in the week of 13-Oct, then refine abstract/presentation/interpretation.</t>
        </is>
      </c>
    </row>
    <row r="12" ht="58" customHeight="1" s="40"/>
    <row r="13" ht="58" customHeight="1" s="40"/>
  </sheetData>
  <mergeCells count="2">
    <mergeCell ref="A2:E2"/>
    <mergeCell ref="A1:E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v19 Change Log</t>
        </is>
      </c>
    </row>
    <row r="2" ht="38" customHeight="1" s="40">
      <c r="A2" s="48" t="inlineStr">
        <is>
          <t>Changes introduced on 3-Oct-2026 after completing the full six-step GDP YoY Data Freeze audit and handing the pre-freeze sequence to Public debt/GDP.</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v19-01</t>
        </is>
      </c>
      <c r="B5" t="inlineStr">
        <is>
          <t>3-Oct-2026</t>
        </is>
      </c>
      <c r="C5" t="inlineStr">
        <is>
          <t>GDP YoY source/ticker validated</t>
        </is>
      </c>
      <c r="D5" t="inlineStr">
        <is>
          <t>WP-06; Data Freeze Gate; Estimation Plan</t>
        </is>
      </c>
      <c r="E5" t="inlineStr">
        <is>
          <t>Macro workbook identifies Real GDP (yoy %) / BZGDYOY% Index. The same ticker appears in columns 7 and 17; both contain 430 non-null observations and are exactly identical row by row. The workbook has only a values_only sheet, so no surviving Bloomberg formula layer is available beyond the stored ticker metadata.</t>
        </is>
      </c>
    </row>
    <row r="6" ht="64" customHeight="1" s="40">
      <c r="A6" t="inlineStr">
        <is>
          <t>v19-02</t>
        </is>
      </c>
      <c r="B6" t="inlineStr">
        <is>
          <t>3-Oct-2026</t>
        </is>
      </c>
      <c r="C6" t="inlineStr">
        <is>
          <t>GDP raw series characterized</t>
        </is>
      </c>
      <c r="D6" t="inlineStr">
        <is>
          <t>WP-06; Data Freeze Gate</t>
        </is>
      </c>
      <c r="E6" t="inlineStr">
        <is>
          <t>Dated macro coverage is Oct-1989 to Jul-2025. In 2010-2025 the grid has 187 monthly rows: 61 nonzero GDP observations, 126 literal zero placeholders and 0 blanks. There are four nonzero quarter-end observations per year in 2010-2024 and one Q1 observation in 2025 through the workbook cutoff.</t>
        </is>
      </c>
    </row>
    <row r="7" ht="56" customHeight="1" s="40">
      <c r="A7" t="inlineStr">
        <is>
          <t>v19-03</t>
        </is>
      </c>
      <c r="B7" t="inlineStr">
        <is>
          <t>3-Oct-2026</t>
        </is>
      </c>
      <c r="C7" t="inlineStr">
        <is>
          <t>GDP monthly convention validated</t>
        </is>
      </c>
      <c r="D7" t="inlineStr">
        <is>
          <t>WP-06; Data Freeze Gate</t>
        </is>
      </c>
      <c r="E7" t="inlineStr">
        <is>
          <t>Panel gdp_yoy is a common monthly macro variable and carries each quarter-end GDP YoY observation forward until the next quarterly observation. The raw workbook zeros between quarter ends are placeholders and are not interpreted as 0% GDP growth.</t>
        </is>
      </c>
    </row>
    <row r="8" ht="64" customHeight="1" s="40">
      <c r="A8" t="inlineStr">
        <is>
          <t>v19-04</t>
        </is>
      </c>
      <c r="B8" t="inlineStr">
        <is>
          <t>3-Oct-2026</t>
        </is>
      </c>
      <c r="C8" t="inlineStr">
        <is>
          <t>GDP full-sample panel match passed</t>
        </is>
      </c>
      <c r="D8" t="inlineStr">
        <is>
          <t>WP-06; Data Freeze Gate</t>
        </is>
      </c>
      <c r="E8" t="inlineStr">
        <is>
          <t>Reconstructed the panel from raw BZGDYOY% quarter-end observations using the carry-forward rule. All 164 distinct panel months from Dec-2010 to Jun-2025 matched exactly: 164/164 exact matches, 0 mismatches and 0 within-month cross-sectional conflicts.</t>
        </is>
      </c>
    </row>
    <row r="9" ht="64" customHeight="1" s="40">
      <c r="A9" t="inlineStr">
        <is>
          <t>v19-05</t>
        </is>
      </c>
      <c r="B9" t="inlineStr">
        <is>
          <t>3-Oct-2026</t>
        </is>
      </c>
      <c r="C9" t="inlineStr">
        <is>
          <t>GDP transformation/scaling validated</t>
        </is>
      </c>
      <c r="D9" t="inlineStr">
        <is>
          <t>WP-06; Estimation Plan</t>
        </is>
      </c>
      <c r="E9" t="inlineStr">
        <is>
          <t>Panel gdp_yoy ranges from -10.14 to 12.4 and is stored directly in percentage-point units. No divide-by-100, multiply-by-100, log, z-score or standardization is applied. Stata uses gdp_yoy in levels; the macro-differences robustness differences Fed, FX and debt/GDP but not gdp_yoy.</t>
        </is>
      </c>
    </row>
    <row r="10" ht="56" customHeight="1" s="40">
      <c r="A10" t="inlineStr">
        <is>
          <t>v19-06</t>
        </is>
      </c>
      <c r="B10" t="inlineStr">
        <is>
          <t>3-Oct-2026</t>
        </is>
      </c>
      <c r="C10" t="inlineStr">
        <is>
          <t>GDP economic label standardized</t>
        </is>
      </c>
      <c r="D10" t="inlineStr">
        <is>
          <t>WP-06; thesis macro-variable wording</t>
        </is>
      </c>
      <c r="E10" t="inlineStr">
        <is>
          <t>Standard label frozen as “Brazil real GDP growth, year-on-year (%)”; Spanish: “crecimiento interanual del PIB real (%)”. Coefficients are interpreted per 1 percentage-point change in YoY real GDP growth. Caveat: mechanical reference-period dating is validated, but real-time release-vintage alignment was not separately audited.</t>
        </is>
      </c>
    </row>
    <row r="11" ht="56" customHeight="1" s="40">
      <c r="A11" t="inlineStr">
        <is>
          <t>v19-07</t>
        </is>
      </c>
      <c r="B11" t="inlineStr">
        <is>
          <t>3-Oct-2026</t>
        </is>
      </c>
      <c r="C11" t="inlineStr">
        <is>
          <t>Data Freeze Gate moves to Public debt/GDP</t>
        </is>
      </c>
      <c r="D11" t="inlineStr">
        <is>
          <t>Dashboard; Revision Tracker; Action Sequence; Estimation Plan</t>
        </is>
      </c>
      <c r="E11" t="inlineStr">
        <is>
          <t>GDP YoY is fully passed with no panel modification required. Next audit is Public debt/GDP under the same six-step sequence. Do not rerun regressions or modify the frozen-candidate panel until all remaining baseline regressors and the corporate-pricing source/missing-value rule are closed.</t>
        </is>
      </c>
    </row>
    <row r="12" ht="58" customHeight="1" s="40"/>
    <row r="13" ht="58" customHeight="1" s="40"/>
  </sheetData>
  <mergeCells count="2">
    <mergeCell ref="A2:E2"/>
    <mergeCell ref="A1:E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v20 Change Log</t>
        </is>
      </c>
    </row>
    <row r="2" ht="38" customHeight="1" s="40">
      <c r="A2" s="48" t="inlineStr">
        <is>
          <t>Changes introduced on 3-Oct-2026 after completing the six-step audit of legacy debt_gdp, identifying the fiscal-balance/public-debt semantic mismatch, and handing the next baseline audit to cf_cash_oper_to_tot_asset.</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v20-01</t>
        </is>
      </c>
      <c r="B5" t="inlineStr">
        <is>
          <t>3-Oct-2026</t>
        </is>
      </c>
      <c r="C5" t="inlineStr">
        <is>
          <t>debt_gdp source lineage corrected</t>
        </is>
      </c>
      <c r="D5" t="inlineStr">
        <is>
          <t>WP-06; Data Freeze Gate; Estimation Plan</t>
        </is>
      </c>
      <c r="E5" t="inlineStr">
        <is>
          <t>Distinctive panel debt_gdp values were traced exactly to macro workbook column 21, “Budget Surplus/Deficit (% GDP)” / EHBBBR Index. GDDBBRAZ Index is a separate public-debt/GDP candidate and is not the source of the existing panel variable.</t>
        </is>
      </c>
    </row>
    <row r="6" ht="64" customHeight="1" s="40">
      <c r="A6" t="inlineStr">
        <is>
          <t>v20-02</t>
        </is>
      </c>
      <c r="B6" t="inlineStr">
        <is>
          <t>3-Oct-2026</t>
        </is>
      </c>
      <c r="C6" t="inlineStr">
        <is>
          <t>Actual Bloomberg fiscal series validated</t>
        </is>
      </c>
      <c r="D6" t="inlineStr">
        <is>
          <t>WP-06; Data Freeze Gate</t>
        </is>
      </c>
      <c r="E6" t="inlineStr">
        <is>
          <t>Bloomberg DES identifies EHBBBR Index as Brazil Budget Balance (% GDP), seasonally adjusted, Percent, Quarterly, source Bloomberg, start Q4 1995; Bloomberg also references underlying ticker BZPBNO% Index. The economic concept is fiscal/budget balance, not debt stock.</t>
        </is>
      </c>
    </row>
    <row r="7" ht="56" customHeight="1" s="40">
      <c r="A7" t="inlineStr">
        <is>
          <t>v20-03</t>
        </is>
      </c>
      <c r="B7" t="inlineStr">
        <is>
          <t>3-Oct-2026</t>
        </is>
      </c>
      <c r="C7" t="inlineStr">
        <is>
          <t>Raw EHBBBR series and vintage validated</t>
        </is>
      </c>
      <c r="D7" t="inlineStr">
        <is>
          <t>WP-06; Data Freeze Gate</t>
        </is>
      </c>
      <c r="E7" t="inlineStr">
        <is>
          <t>Direct BQL history confirms a complete quarterly series across 2010Q1-2025Q4. The local macro workbook contains 62 nonzero quarterly observations from 2010Q1-2025Q2 and is a coherent older Bloomberg vintage: it matches current BQL through 2023, with only small later revisions in 2024-2025. The frozen-candidate panel uses the local snapshot; no automatic refresh was made.</t>
        </is>
      </c>
    </row>
    <row r="8" ht="64" customHeight="1" s="40">
      <c r="A8" t="inlineStr">
        <is>
          <t>v20-04</t>
        </is>
      </c>
      <c r="B8" t="inlineStr">
        <is>
          <t>3-Oct-2026</t>
        </is>
      </c>
      <c r="C8" t="inlineStr">
        <is>
          <t>Monthly convention and full panel match passed</t>
        </is>
      </c>
      <c r="D8" t="inlineStr">
        <is>
          <t>WP-06; Data Freeze Gate</t>
        </is>
      </c>
      <c r="E8" t="inlineStr">
        <is>
          <t>Quarter-end EHBBBR observations are carried forward monthly until the next quarter. All 164 distinct panel months reproduce exactly. Full row audit covers 4,229 observations from Dec-2010 to Jun-2025: 0 missing debt_gdp values, 0 row-level mismatches and 0 months with cross-sectional conflicts.</t>
        </is>
      </c>
    </row>
    <row r="9" ht="64" customHeight="1" s="40">
      <c r="A9" t="inlineStr">
        <is>
          <t>v20-05</t>
        </is>
      </c>
      <c r="B9" t="inlineStr">
        <is>
          <t>3-Oct-2026</t>
        </is>
      </c>
      <c r="C9" t="inlineStr">
        <is>
          <t>Scaling and economic label corrected</t>
        </is>
      </c>
      <c r="D9" t="inlineStr">
        <is>
          <t>WP-06; Estimation Plan; thesis macro-variable wording</t>
        </is>
      </c>
      <c r="E9" t="inlineStr">
        <is>
          <t>The panel uses EHBBBR in levels and native percentage points of GDP with no /100, *100, log, z-score, sign reversal or standardization. Correct label: fiscal/budget balance (% GDP); Spanish: saldo fiscal (% del PIB). Negative values denote fiscal deficits.</t>
        </is>
      </c>
    </row>
    <row r="10" ht="56" customHeight="1" s="40">
      <c r="A10" t="inlineStr">
        <is>
          <t>v20-06</t>
        </is>
      </c>
      <c r="B10" t="inlineStr">
        <is>
          <t>3-Oct-2026</t>
        </is>
      </c>
      <c r="C10" t="inlineStr">
        <is>
          <t>Material semantic/specification issue flagged</t>
        </is>
      </c>
      <c r="D10" t="inlineStr">
        <is>
          <t>MR-22; WP-06; Estimation Plan; final panel rebuild</t>
        </is>
      </c>
      <c r="E10" t="inlineStr">
        <is>
          <t>Legacy variable name debt_gdp and existing “No debt/GDP” output labels are semantically wrong. Because Martin’s core template calls for Public debt/GDP, the Data Freeze Gate must explicitly decide whether to retain/relabel fiscal balance, replace it with a properly sourced true public-debt/GDP control, or otherwise reconcile the macro specification. Do not silently substitute GDDBBRAZ.</t>
        </is>
      </c>
    </row>
    <row r="11" ht="56" customHeight="1" s="40">
      <c r="A11" t="inlineStr">
        <is>
          <t>v20-07</t>
        </is>
      </c>
      <c r="B11" t="inlineStr">
        <is>
          <t>3-Oct-2026</t>
        </is>
      </c>
      <c r="C11" t="inlineStr">
        <is>
          <t>Data Freeze Gate moves to firm-liquidity audit</t>
        </is>
      </c>
      <c r="D11" t="inlineStr">
        <is>
          <t>Dashboard; Revision Tracker; Action Sequence; Estimation Plan</t>
        </is>
      </c>
      <c r="E11" t="inlineStr">
        <is>
          <t>Next six-step audit is cf_cash_oper_to_tot_asset, followed by the remaining baseline controls. The fiscal-control specification decision remains an open pre-freeze gate item. Do not modify/rebuild the authoritative panel or rerun final regressions until all remaining variable audits, the fiscal-control decision and the corporate-pricing source/missing-value rule are closed.</t>
        </is>
      </c>
    </row>
    <row r="12" ht="58" customHeight="1" s="40"/>
    <row r="13" ht="58" customHeight="1" s="40"/>
  </sheetData>
  <mergeCells count="2">
    <mergeCell ref="A2:E2"/>
    <mergeCell ref="A1:E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v21 Change Log</t>
        </is>
      </c>
    </row>
    <row r="2" ht="38" customHeight="1" s="40">
      <c r="A2" s="48" t="inlineStr">
        <is>
          <t>Changes introduced on 4-Oct-2026 after completing the six-step audit of cf_cash_oper_to_tot_asset, identifying the same-quarter accounting-timing issue, and handing the next baseline audit to tot_debt_to_ebitda.</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v21-01</t>
        </is>
      </c>
      <c r="B5" t="inlineStr">
        <is>
          <t>4-Oct-2026</t>
        </is>
      </c>
      <c r="C5" t="inlineStr">
        <is>
          <t>Cash-flow/assets source lineage validated</t>
        </is>
      </c>
      <c r="D5" t="inlineStr">
        <is>
          <t>WP-06; Data Freeze Gate; Estimation Plan</t>
        </is>
      </c>
      <c r="E5" t="inlineStr">
        <is>
          <t>Exact issuer-level Bloomberg fundamental inputs are CF_CASH_FROM_OPER.xlsx / field CF_CASH_FROM_OPER and BS_TOT_ASSET.xlsx / field BS_TOT_ASSET. Bond metadata column 24 is ULT_PARENT_TICKER_EXCHANGE. Normalizing the trailing Bloomberg “Equity” suffix aligns all 27 parent tickers represented in the thesis panel with both source workbooks.</t>
        </is>
      </c>
    </row>
    <row r="6" ht="64" customHeight="1" s="40">
      <c r="A6" t="inlineStr">
        <is>
          <t>v21-02</t>
        </is>
      </c>
      <c r="B6" t="inlineStr">
        <is>
          <t>4-Oct-2026</t>
        </is>
      </c>
      <c r="C6" t="inlineStr">
        <is>
          <t>Raw quarterly fundamentals characterized</t>
        </is>
      </c>
      <c r="D6" t="inlineStr">
        <is>
          <t>WP-06; Data Freeze Gate</t>
        </is>
      </c>
      <c r="E6" t="inlineStr">
        <is>
          <t>Both source workbooks use the same quarterly issuer-ticker layout on a 1999Q1-2025Q4 grid and contain time-varying accounting observations; negative operating cash flow values are preserved. The thesis-panel parent tickers required for the 2010-2025 sample are present in both inputs.</t>
        </is>
      </c>
    </row>
    <row r="7" ht="56" customHeight="1" s="40">
      <c r="A7" t="inlineStr">
        <is>
          <t>v21-03</t>
        </is>
      </c>
      <c r="B7" t="inlineStr">
        <is>
          <t>4-Oct-2026</t>
        </is>
      </c>
      <c r="C7" t="inlineStr">
        <is>
          <t>Monthly convention identified; timing blocker raised</t>
        </is>
      </c>
      <c r="D7" t="inlineStr">
        <is>
          <t>WP-06; Data Freeze Gate; final panel rebuild</t>
        </is>
      </c>
      <c r="E7" t="inlineStr">
        <is>
          <t>The current monthly panel assigns each quarter’s CF_CASH_FROM_OPER / BS_TOT_ASSET ratio contemporaneously to all three months of that calendar quarter, with no interpolation or publication lag. This can place eventual Q1 financial-statement information into January/February and therefore creates a potential look-ahead/information-availability problem that must be remediated before freeze.</t>
        </is>
      </c>
    </row>
    <row r="8" ht="64" customHeight="1" s="40">
      <c r="A8" t="inlineStr">
        <is>
          <t>v21-04</t>
        </is>
      </c>
      <c r="B8" t="inlineStr">
        <is>
          <t>4-Oct-2026</t>
        </is>
      </c>
      <c r="C8" t="inlineStr">
        <is>
          <t>Full 4,229-row panel match passed</t>
        </is>
      </c>
      <c r="D8" t="inlineStr">
        <is>
          <t>WP-06; Data Freeze Gate</t>
        </is>
      </c>
      <c r="E8" t="inlineStr">
        <is>
          <t>Full audit covers all 4,229 panel observations and all 27 mapped parent tickers: 4,229/4,229 rows have a source quarter, 4,229/4,229 panel values are nonmissing, 4,229/4,229 match the reconstructed source series within 1e-4, maximum absolute difference is 5.68e-14, with 0 missing source quarters and 0 mismatches.</t>
        </is>
      </c>
    </row>
    <row r="9" ht="64" customHeight="1" s="40">
      <c r="A9" t="inlineStr">
        <is>
          <t>v21-05</t>
        </is>
      </c>
      <c r="B9" t="inlineStr">
        <is>
          <t>4-Oct-2026</t>
        </is>
      </c>
      <c r="C9" t="inlineStr">
        <is>
          <t>Transformation/scaling and economic label validated</t>
        </is>
      </c>
      <c r="D9" t="inlineStr">
        <is>
          <t>WP-06; Estimation Plan; thesis firm-control wording</t>
        </is>
      </c>
      <c r="E9" t="inlineStr">
        <is>
          <t>The implied scale is exactly 1000 for every comparable observation: cf_cash_oper_to_tot_asset = 1000 x CF_CASH_FROM_OPER / BS_TOT_ASSET. Stored units are per mille (‰), not a raw fraction or percentage points. Standard label: operating cash flow / total assets (‰), an issuer-level proxy for internal liquidity and short-term financial strength.</t>
        </is>
      </c>
    </row>
    <row r="10" ht="56" customHeight="1" s="40">
      <c r="A10" t="inlineStr">
        <is>
          <t>v21-06</t>
        </is>
      </c>
      <c r="B10" t="inlineStr">
        <is>
          <t>4-Oct-2026</t>
        </is>
      </c>
      <c r="C10" t="inlineStr">
        <is>
          <t>Cash-flow audit complete but freeze readiness blocked</t>
        </is>
      </c>
      <c r="D10" t="inlineStr">
        <is>
          <t>WP-06; Data Freeze Gate; final panel rebuild</t>
        </is>
      </c>
      <c r="E10" t="inlineStr">
        <is>
          <t>The six-step lineage/data audit is complete, but the variable is not yet freeze-ready because the monthly information timing is not observation-date defensible. Choose and document an information-availability/lag convention together with the fiscal-control and pricing-rule decisions, then rebuild the authoritative panel once. No ad hoc panel edit and no regression rerun yet.</t>
        </is>
      </c>
    </row>
    <row r="11" ht="56" customHeight="1" s="40">
      <c r="A11" t="inlineStr">
        <is>
          <t>v21-07</t>
        </is>
      </c>
      <c r="B11" t="inlineStr">
        <is>
          <t>4-Oct-2026</t>
        </is>
      </c>
      <c r="C11" t="inlineStr">
        <is>
          <t>Data Freeze Gate moves to Debt / EBITDA</t>
        </is>
      </c>
      <c r="D11" t="inlineStr">
        <is>
          <t>Dashboard; Revision Tracker; Action Sequence; Estimation Plan</t>
        </is>
      </c>
      <c r="E11" t="inlineStr">
        <is>
          <t>Next six-step audit is tot_debt_to_ebitda, followed by any remaining baseline controls. Continue the sequence source/field -&gt; raw series -&gt; monthly convention -&gt; panel match -&gt; transformation/scaling -&gt; economic label. Final estimation remains blocked until all variable audits and the fiscal-control, cash-flow timing and corporate-pricing decisions are closed.</t>
        </is>
      </c>
    </row>
    <row r="12" ht="58" customHeight="1" s="40"/>
    <row r="13" ht="58" customHeight="1" s="40"/>
  </sheetData>
  <mergeCells count="2">
    <mergeCell ref="A2:E2"/>
    <mergeCell ref="A1:E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v22 Change Log</t>
        </is>
      </c>
    </row>
    <row r="2" ht="38" customHeight="1" s="40">
      <c r="A2" s="48" t="inlineStr">
        <is>
          <t>Changes introduced on 4-Oct-2026 after completing the six-step audit of tot_debt_to_ebitda, identifying a second same-quarter accounting-timing issue, and handing the next baseline audit to days_to_maturity.</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v22-01</t>
        </is>
      </c>
      <c r="B5" t="inlineStr">
        <is>
          <t>4-Oct-2026</t>
        </is>
      </c>
      <c r="C5" t="inlineStr">
        <is>
          <t>Debt / EBITDA historical source lineage reconstructed</t>
        </is>
      </c>
      <c r="D5" t="inlineStr">
        <is>
          <t>WP-06; Data Freeze Gate; Estimation Plan</t>
        </is>
      </c>
      <c r="E5" t="inlineStr">
        <is>
          <t>The panel series is not the static Bloomberg TOT_DEBT_TO_EBITDA snapshot in universo_brazil_deb_des.xlsx. Historical values are reconstructed from issuer-level Bloomberg Fundamentals SHORT_AND_LONG_TERM_DEBT.xlsx / field SHORT_AND_LONG_TERM_DEBT divided by EBITDA.xlsx / field EBITDA. Bond metadata maps through ULT_PARENT_TICKER_EXCHANGE; all 103 panel bonds map to 27 parent equity tickers present in both source workbooks.</t>
        </is>
      </c>
    </row>
    <row r="6" ht="64" customHeight="1" s="40">
      <c r="A6" t="inlineStr">
        <is>
          <t>v22-02</t>
        </is>
      </c>
      <c r="B6" t="inlineStr">
        <is>
          <t>4-Oct-2026</t>
        </is>
      </c>
      <c r="C6" t="inlineStr">
        <is>
          <t>Raw quarterly leverage inputs characterized</t>
        </is>
      </c>
      <c r="D6" t="inlineStr">
        <is>
          <t>WP-06; Data Freeze Gate</t>
        </is>
      </c>
      <c r="E6" t="inlineStr">
        <is>
          <t>Both source workbooks use the same quarterly Bloomberg equity-ticker layout on a 1999Q1-2025Q4 grid. For the 27 parent issuers relevant to the 2010-2025 thesis sample there are 1,728 possible issuer-quarter cells: 1,510 have both debt and EBITDA numeric, 2 have EBITDA numeric with debt missing, 5 have debt numeric with EBITDA missing, and 211 have neither; no paired numeric EBITDA equals zero.</t>
        </is>
      </c>
    </row>
    <row r="7" ht="56" customHeight="1" s="40">
      <c r="A7" t="inlineStr">
        <is>
          <t>v22-03</t>
        </is>
      </c>
      <c r="B7" t="inlineStr">
        <is>
          <t>4-Oct-2026</t>
        </is>
      </c>
      <c r="C7" t="inlineStr">
        <is>
          <t>Monthly convention identified; second timing blocker raised</t>
        </is>
      </c>
      <c r="D7" t="inlineStr">
        <is>
          <t>WP-06; Data Freeze Gate; final panel rebuild</t>
        </is>
      </c>
      <c r="E7" t="inlineStr">
        <is>
          <t>The current monthly panel assigns SHORT_AND_LONG_TERM_DEBT / EBITDA from the same calendar quarter to all three months of that quarter. All 4,229 panel observations match the same-quarter ratio exactly and zero match the previous-quarter ratio. This can place eventual quarterly accounting information into months before quarter-end/publication, creating a separate look-ahead/information-availability blocker.</t>
        </is>
      </c>
    </row>
    <row r="8" ht="64" customHeight="1" s="40">
      <c r="A8" t="inlineStr">
        <is>
          <t>v22-04</t>
        </is>
      </c>
      <c r="B8" t="inlineStr">
        <is>
          <t>4-Oct-2026</t>
        </is>
      </c>
      <c r="C8" t="inlineStr">
        <is>
          <t>Full 4,229-row leverage panel match passed</t>
        </is>
      </c>
      <c r="D8" t="inlineStr">
        <is>
          <t>WP-06; Data Freeze Gate</t>
        </is>
      </c>
      <c r="E8" t="inlineStr">
        <is>
          <t>All 4,229 econometric-panel observations have nonmissing tot_debt_to_ebitda and reproduce exactly from the mapped issuer-quarter SHORT_AND_LONG_TERM_DEBT / EBITDA source ratio. There are 0 missing panel values and 0 source-to-panel mismatches.</t>
        </is>
      </c>
    </row>
    <row r="9" ht="64" customHeight="1" s="40">
      <c r="A9" t="inlineStr">
        <is>
          <t>v22-05</t>
        </is>
      </c>
      <c r="B9" t="inlineStr">
        <is>
          <t>4-Oct-2026</t>
        </is>
      </c>
      <c r="C9" t="inlineStr">
        <is>
          <t>Transformation/scaling and economic label validated</t>
        </is>
      </c>
      <c r="D9" t="inlineStr">
        <is>
          <t>WP-06; Estimation Plan; thesis firm-control wording</t>
        </is>
      </c>
      <c r="E9" t="inlineStr">
        <is>
          <t>The panel stores the raw leverage multiple in x-times units with no x100, log, standardization, winsorization or other transformation. Current panel range is -400.6213x to 662.2234x, with 158 negative observations. Standard label: financial leverage (short- and long-term debt / EBITDA); Spanish: apalancamiento financiero (deuda de corto y largo plazo / EBITDA).</t>
        </is>
      </c>
    </row>
    <row r="10" ht="56" customHeight="1" s="40">
      <c r="A10" t="inlineStr">
        <is>
          <t>v22-06</t>
        </is>
      </c>
      <c r="B10" t="inlineStr">
        <is>
          <t>4-Oct-2026</t>
        </is>
      </c>
      <c r="C10" t="inlineStr">
        <is>
          <t>Debt / EBITDA audit complete but freeze readiness blocked</t>
        </is>
      </c>
      <c r="D10" t="inlineStr">
        <is>
          <t>WP-06; Data Freeze Gate; final panel rebuild</t>
        </is>
      </c>
      <c r="E10" t="inlineStr">
        <is>
          <t>The six-step lineage/data audit is complete, but the variable is not yet freeze-ready because the contemporaneous same-quarter monthly assignment is not observation-date defensible. Keep this blocker separate from the existing cf_cash_oper_to_tot_asset timing issue; choose and document availability/lag conventions during the controlled final panel rebuild. No ad hoc panel edit and no regression rerun yet.</t>
        </is>
      </c>
    </row>
    <row r="11" ht="56" customHeight="1" s="40">
      <c r="A11" t="inlineStr">
        <is>
          <t>v22-07</t>
        </is>
      </c>
      <c r="B11" t="inlineStr">
        <is>
          <t>4-Oct-2026</t>
        </is>
      </c>
      <c r="C11" t="inlineStr">
        <is>
          <t>Data Freeze Gate moves to residual maturity</t>
        </is>
      </c>
      <c r="D11" t="inlineStr">
        <is>
          <t>Dashboard; Revision Tracker; Action Sequence; Estimation Plan</t>
        </is>
      </c>
      <c r="E11" t="inlineStr">
        <is>
          <t>Next six-step audit is days_to_maturity, followed by any remaining baseline controls. Continue source/field -&gt; raw series -&gt; monthly convention -&gt; panel match -&gt; transformation/scaling -&gt; economic label. Final estimation remains blocked until all variable audits and the fiscal-control, both accounting-timing, and corporate-pricing decisions are closed.</t>
        </is>
      </c>
    </row>
    <row r="12" ht="58" customHeight="1" s="40"/>
    <row r="13" ht="58" customHeight="1" s="40"/>
  </sheetData>
  <mergeCells count="2">
    <mergeCell ref="A2:E2"/>
    <mergeCell ref="A1:E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v23 Change Log</t>
        </is>
      </c>
    </row>
    <row r="2" ht="38" customHeight="1" s="40">
      <c r="A2" s="48" t="inlineStr">
        <is>
          <t>Changes introduced on 4-Oct-2026 after completing the six-step audit of days_to_maturity, identifying the exact BUS/252 residual-maturity convention and code-helper discrepancy, and handing the final baseline-regressor reconciliation to synthetic_cds_brl / Sovereign Risk (BRL).</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v23-01</t>
        </is>
      </c>
      <c r="B5" t="inlineStr">
        <is>
          <t>4-Oct-2026</t>
        </is>
      </c>
      <c r="C5" t="inlineStr">
        <is>
          <t>Residual-maturity source lineage validated</t>
        </is>
      </c>
      <c r="D5" t="inlineStr">
        <is>
          <t>WP-06; Data Freeze Gate; Estimation Plan</t>
        </is>
      </c>
      <c r="E5" t="inlineStr">
        <is>
          <t>Underlying source is contractual MATURITY in datos_y_modelos\Domestic\universo_brazil_deb_des.xlsx, sheet db_values_only. load_corp_bond_data reads the field directly; filter_corporate_universe parses it to datetime. All 103 econometric-panel bond IDs match uniquely to source metadata with 0 missing maturity dates; matched maturity range is 2015-01-15 to 2041-12-15.</t>
        </is>
      </c>
    </row>
    <row r="6" ht="64" customHeight="1" s="40">
      <c r="A6" t="inlineStr">
        <is>
          <t>v23-02</t>
        </is>
      </c>
      <c r="B6" t="inlineStr">
        <is>
          <t>4-Oct-2026</t>
        </is>
      </c>
      <c r="C6" t="inlineStr">
        <is>
          <t>Raw maturity metadata characterized</t>
        </is>
      </c>
      <c r="D6" t="inlineStr">
        <is>
          <t>WP-06; Data Freeze Gate</t>
        </is>
      </c>
      <c r="E6" t="inlineStr">
        <is>
          <t>The full 6,926-security source has 67 nonblank MATURITY values that coerce to NaT because they are Bloomberg sentinel strings (#N/A Field Not Applicable), but none survive into the relevant filtered IPCA corporate universe: 835 filtered IPCA bonds have 0 MATURITY NaT. The 103 thesis-panel bonds are therefore clean and complete.</t>
        </is>
      </c>
    </row>
    <row r="7" ht="56" customHeight="1" s="40">
      <c r="A7" t="inlineStr">
        <is>
          <t>v23-03</t>
        </is>
      </c>
      <c r="B7" t="inlineStr">
        <is>
          <t>4-Oct-2026</t>
        </is>
      </c>
      <c r="C7" t="inlineStr">
        <is>
          <t>Monthly observation-date convention validated</t>
        </is>
      </c>
      <c r="D7" t="inlineStr">
        <is>
          <t>WP-06; Data Freeze Gate</t>
        </is>
      </c>
      <c r="E7" t="inlineStr">
        <is>
          <t>Residual maturity is measured from the actual authoritative monthly obs_date, not a mechanically imposed calendar month-end. The corporate monthly-YTM file and real_curve_surface_corp.xlsx each contain exactly the same 175 unique obs_dates from 2010-12-30 to 2025-06-30, one date per month. 113 are literal calendar month-end and 62 are earlier dates.</t>
        </is>
      </c>
    </row>
    <row r="8" ht="64" customHeight="1" s="40">
      <c r="A8" t="inlineStr">
        <is>
          <t>v23-04</t>
        </is>
      </c>
      <c r="B8" t="inlineStr">
        <is>
          <t>4-Oct-2026</t>
        </is>
      </c>
      <c r="C8" t="inlineStr">
        <is>
          <t>Full 4,229-row residual-maturity panel match passed</t>
        </is>
      </c>
      <c r="D8" t="inlineStr">
        <is>
          <t>WP-06; Data Freeze Gate</t>
        </is>
      </c>
      <c r="E8" t="inlineStr">
        <is>
          <t>The legacy panel name days_to_maturity is misleading: every stored value multiplied by 252 is an integer business-day count. All 4,229/4,229 rows reproduce exactly as ANBIMA business days from obs_date through contractual maturity, including the maturity date when it is a valid business day, divided by 252, with 20 November included as a holiday from 2024 onward. Maximum numerical difference is floating-point noise only (5.33e-15).</t>
        </is>
      </c>
    </row>
    <row r="9" ht="64" customHeight="1" s="40">
      <c r="A9" t="inlineStr">
        <is>
          <t>v23-05</t>
        </is>
      </c>
      <c r="B9" t="inlineStr">
        <is>
          <t>4-Oct-2026</t>
        </is>
      </c>
      <c r="C9" t="inlineStr">
        <is>
          <t>Transformation/scaling and economic label validated</t>
        </is>
      </c>
      <c r="D9" t="inlineStr">
        <is>
          <t>WP-06; Estimation Plan; thesis bond-control wording</t>
        </is>
      </c>
      <c r="E9" t="inlineStr">
        <is>
          <t>The econometric variable is residual maturity in BUS/252 years and enters Stata directly in levels; there is no log, standardization, differencing or further rescaling. Preferred label: residual bond maturity (BUS/252 years); Spanish: plazo residual al vencimiento (años, BUS/252). Thesis text already describes the measure as business-day-normalized / equivalent years, so the substantive concept is consistent even though the technical column name says days.</t>
        </is>
      </c>
    </row>
    <row r="10" ht="56" customHeight="1" s="40">
      <c r="A10" t="inlineStr">
        <is>
          <t>v23-06</t>
        </is>
      </c>
      <c r="B10" t="inlineStr">
        <is>
          <t>4-Oct-2026</t>
        </is>
      </c>
      <c r="C10" t="inlineStr">
        <is>
          <t>Day-count code-consistency blocker documented</t>
        </is>
      </c>
      <c r="D10" t="inlineStr">
        <is>
          <t>WP-06; final panel rebuild; code integrity</t>
        </is>
      </c>
      <c r="E10" t="inlineStr">
        <is>
          <t>Current DayCounts("bus/252", calendar="cdr_anbima") does not reproduce the frozen panel convention because the hard-coded cdr_anbima list omits 20 November from 2024 onward and numpy.busday_count excludes the terminal date. Do not alter the historical 4,229 values ad hoc; align/document the reusable day-count helper during the controlled final rebuild and verify that any curve-tenor use remains consistent.</t>
        </is>
      </c>
    </row>
    <row r="11" ht="56" customHeight="1" s="40">
      <c r="A11" t="inlineStr">
        <is>
          <t>v23-07</t>
        </is>
      </c>
      <c r="B11" t="inlineStr">
        <is>
          <t>4-Oct-2026</t>
        </is>
      </c>
      <c r="C11" t="inlineStr">
        <is>
          <t>Data Freeze Gate moves to sovereign panel-field reconciliation</t>
        </is>
      </c>
      <c r="D11" t="inlineStr">
        <is>
          <t>Dashboard; Revision Tracker; Action Sequence; Estimation Plan</t>
        </is>
      </c>
      <c r="E11" t="inlineStr">
        <is>
          <t>Next focused audit is the existing synthetic_cds_brl field in panel_main_and_robustness.xlsx / current Stata baseline. Reconcile it with the already-validated Sovereign Risk (BRL) / sovereign_spread_brl construction, remove residual synthetic-CDS terminology, and verify final source/date/units/panel mapping. After that, resolve fiscal-control, accounting-timing and corporate-pricing blockers before the one controlled panel rebuild and final FE-DK rerun.</t>
        </is>
      </c>
    </row>
    <row r="12" ht="58" customHeight="1" s="40"/>
    <row r="13" ht="58" customHeight="1" s="40"/>
  </sheetData>
  <mergeCells count="2">
    <mergeCell ref="A2:E2"/>
    <mergeCell ref="A1:E1"/>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v24 Change Log</t>
        </is>
      </c>
    </row>
    <row r="2" ht="38" customHeight="1" s="40">
      <c r="A2" s="48" t="inlineStr">
        <is>
          <t>Changes introduced on 4-Oct-2026 after completing the synthetic_cds_brl / Sovereign Risk (BRL) reconciliation, identifying the fixed post-sample curve and tenor-parser defects, and moving the Data Freeze Gate to the fiscal-control specification decision.</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56" customHeight="1" s="40">
      <c r="A5" t="inlineStr">
        <is>
          <t>v24-01</t>
        </is>
      </c>
      <c r="B5" t="inlineStr">
        <is>
          <t>4-Oct-2026</t>
        </is>
      </c>
      <c r="C5" t="inlineStr">
        <is>
          <t>Legacy sovereign-field lineage reconstructed</t>
        </is>
      </c>
      <c r="D5" t="inlineStr">
        <is>
          <t>WP-06; Data Freeze Gate; Estimation Plan</t>
        </is>
      </c>
      <c r="E5" t="inlineStr">
        <is>
          <t>Current synthetic_cds_brl is not a CDS and not a simple old name for sovereign_spread_brl. Its upstream pipeline builds a sovereign spread surface from government-bond summaries and pools three universes: LTN versus DI, NTN-F versus DI, and NTN-B versus the real IPCA reference curve.</t>
        </is>
      </c>
    </row>
    <row r="6" ht="64" customHeight="1" s="40">
      <c r="A6" t="inlineStr">
        <is>
          <t>v24-02</t>
        </is>
      </c>
      <c r="B6" t="inlineStr">
        <is>
          <t>4-Oct-2026</t>
        </is>
      </c>
      <c r="C6" t="inlineStr">
        <is>
          <t>Validated nominal raw package separated from legacy real component</t>
        </is>
      </c>
      <c r="D6" t="inlineStr">
        <is>
          <t>WP-02; WP-06; Data Freeze Gate</t>
        </is>
      </c>
      <c r="E6" t="inlineStr">
        <is>
          <t>Validated Sovereign Risk (BRL) raw series is exactly 582/582 nominal observations: 252 LTN observations across 13 bonds plus 330 NTN-F observations across 5 bonds. Legacy synthetic surface additionally includes 1,107 NTN-B observations across 12 bonds, benchmarked to the real curve, making the pooled object economically heterogeneous.</t>
        </is>
      </c>
    </row>
    <row r="7" ht="56" customHeight="1" s="40">
      <c r="A7" t="inlineStr">
        <is>
          <t>v24-03</t>
        </is>
      </c>
      <c r="B7" t="inlineStr">
        <is>
          <t>4-Oct-2026</t>
        </is>
      </c>
      <c r="C7" t="inlineStr">
        <is>
          <t>Monthly convention passed upstream but failed at panel injection</t>
        </is>
      </c>
      <c r="D7" t="inlineStr">
        <is>
          <t>WP-06; final panel rebuild</t>
        </is>
      </c>
      <c r="E7" t="inlineStr">
        <is>
          <t>LTN, NTN-F and NTN-B raw files each contain one common observation date per calendar month, consistent with an EOM/last-business-day convention. However add_synthetic_cds_to_panel.py discards the historical date dimension by selecting cds_surface.iloc[-1] and fitting only that latest curve before mapping every corporate-panel observation.</t>
        </is>
      </c>
    </row>
    <row r="8" ht="64" customHeight="1" s="40">
      <c r="A8" t="inlineStr">
        <is>
          <t>v24-04</t>
        </is>
      </c>
      <c r="B8" t="inlineStr">
        <is>
          <t>4-Oct-2026</t>
        </is>
      </c>
      <c r="C8" t="inlineStr">
        <is>
          <t>Current 4,229-row panel mapping proved non-contemporaneous</t>
        </is>
      </c>
      <c r="D8" t="inlineStr">
        <is>
          <t>WP-06; Data Freeze Gate</t>
        </is>
      </c>
      <c r="E8" t="inlineStr">
        <is>
          <t>All 4,229 panel rows contain synthetic_cds_brl, but the field is a deterministic maturity function rather than contemporaneous sovereign risk: there are 1,542 unique days_to_maturity values and exactly 1,542 unique synthetic values; among 994 repeated maturity groups, none has more than one synthetic value. Thus identical maturity always implies identical legacy sovereign value regardless of observation date.</t>
        </is>
      </c>
    </row>
    <row r="9" ht="64" customHeight="1" s="40">
      <c r="A9" t="inlineStr">
        <is>
          <t>v24-05</t>
        </is>
      </c>
      <c r="B9" t="inlineStr">
        <is>
          <t>4-Oct-2026</t>
        </is>
      </c>
      <c r="C9" t="inlineStr">
        <is>
          <t>Legacy fixed-curve transformation reproduced and defects documented</t>
        </is>
      </c>
      <c r="D9" t="inlineStr">
        <is>
          <t>WP-06; code integrity; Estimation Plan</t>
        </is>
      </c>
      <c r="E9" t="inlineStr">
        <is>
          <t>Re-fitting the archived latest surface dated 2025-08-04 reproduces the current panel synthetic_cds_brl almost exactly (max absolute difference about 0.000104 bp; mean about 0.0000067 bp), even though the regression sample ends 2025-06-30. Units remain bps, so there is no simple x100 scaling error. The legacy tenor parser maps 6-month to 6.0 years, creating duplicate 6-year inputs; the simplified NSS fit also leaves tau2 inactive, consistent with the optimization covariance warning.</t>
        </is>
      </c>
    </row>
    <row r="10" ht="56" customHeight="1" s="40">
      <c r="A10" t="inlineStr">
        <is>
          <t>v24-06</t>
        </is>
      </c>
      <c r="B10" t="inlineStr">
        <is>
          <t>4-Oct-2026</t>
        </is>
      </c>
      <c r="C10" t="inlineStr">
        <is>
          <t>Economic label decision: legacy proxy invalid; validated sovereign_spread_brl retained</t>
        </is>
      </c>
      <c r="D10" t="inlineStr">
        <is>
          <t>WP-02; WP-06; thesis/econometric consistency</t>
        </is>
      </c>
      <c r="E10" t="inlineStr">
        <is>
          <t>Repository labels such as Synthetic CDS-BRL are misleading: no CDS contract enters the construction. Thesis wording is already correct and explicitly defines sovereign_spread_brl as nominal LTN/NTN-F versus same-date exact-tenor DI and not a CDS. Decision: mark current synthetic_cds_brl NOT FREEZE-READY / REPLACEMENT REQUIRED. Do not reinterpret its existing regression coefficient as the validated sovereign result.</t>
        </is>
      </c>
    </row>
    <row r="11" ht="56" customHeight="1" s="40">
      <c r="A11" t="inlineStr">
        <is>
          <t>v24-07</t>
        </is>
      </c>
      <c r="B11" t="inlineStr">
        <is>
          <t>4-Oct-2026</t>
        </is>
      </c>
      <c r="C11" t="inlineStr">
        <is>
          <t>Data Freeze Gate moves to fiscal-control specification decision</t>
        </is>
      </c>
      <c r="D11" t="inlineStr">
        <is>
          <t>Dashboard; Revision Tracker; Action Sequence; Estimation Plan</t>
        </is>
      </c>
      <c r="E11" t="inlineStr">
        <is>
          <t>All baseline-regressor six-step audits/reconciliations are now complete. Next dedicated task is the fiscal-control decision for legacy debt_gdp, already traced to Bloomberg EHBBBR Brazil Budget Balance (% GDP), not public debt/GDP: explicitly decide retain+relabel versus replace with a true debt/GDP series. Then close both accounting-information timing conventions, residual-maturity helper consistency and the corporate-pricing rule before the one controlled panel rebuild/freeze and final FE-DK rerun. No panel edits or regressions were run during the sovereign audit.</t>
        </is>
      </c>
    </row>
    <row r="12" ht="58" customHeight="1" s="40"/>
    <row r="13" ht="58" customHeight="1" s="40"/>
  </sheetData>
  <mergeCells count="2">
    <mergeCell ref="A2:E2"/>
    <mergeCell ref="A1:E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v25 Change Log</t>
        </is>
      </c>
    </row>
    <row r="2" ht="55" customHeight="1" s="40">
      <c r="A2" s="48" t="inlineStr">
        <is>
          <t>Changes introduced on 5-Oct-2026 after closing the fiscal-control specification decision, selecting official BCB SGS 13762 Public debt/GDP with a uniform L2 timing convention, documenting the missing legacy panel-builder reproducibility path, and moving the Data Freeze Gate to the two accounting-information timing rules.</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v25-01</t>
        </is>
      </c>
      <c r="B5" t="inlineStr">
        <is>
          <t>5-Oct-2026</t>
        </is>
      </c>
      <c r="C5" t="inlineStr">
        <is>
          <t>Fiscal-control economic specification closed</t>
        </is>
      </c>
      <c r="D5" t="inlineStr">
        <is>
          <t>WP-06; MR-22; Estimation Plan</t>
        </is>
      </c>
      <c r="E5" t="inlineStr">
        <is>
          <t>Thesis H8 / variable definitions and Martin's requested macro block require Public debt/GDP, while the audited legacy panel field debt_gdp is Bloomberg EHBBBR Index / Brazil Budget Balance (% GDP), a quarterly fiscal-flow measure. Decision: reject retain+relabel for the baseline and replace it with a genuine public-debt/GDP stock measure during the one controlled final panel rebuild.</t>
        </is>
      </c>
    </row>
    <row r="6" ht="86" customHeight="1" s="40">
      <c r="A6" t="inlineStr">
        <is>
          <t>v25-02</t>
        </is>
      </c>
      <c r="B6" t="inlineStr">
        <is>
          <t>5-Oct-2026</t>
        </is>
      </c>
      <c r="C6" t="inlineStr">
        <is>
          <t>Official BCB replacement source selected and archived</t>
        </is>
      </c>
      <c r="D6" t="inlineStr">
        <is>
          <t>WP-06; Data Freeze Gate; macro source archive</t>
        </is>
      </c>
      <c r="E6" t="inlineStr">
        <is>
          <t>Selected Banco Central do Brasil SGS 13762, “Dívida bruta do governo geral (% PIB) - Metodologia utilizada a partir de 2008”, official BCB-DSTAT monthly series in percentage points of GDP. Raw snapshot archived at datos_y_modelos/db/brazil_macroeconomic_data/public_debt_gdp/sgs_13762_public_debt_gdp.csv with provenance README; snapshot covers 2010-01 through 2026-08. Official source page: https://www3.bcb.gov.br/sgspub/consultarvalores/consultarValoresSeries.do?method=visualizarValores</t>
        </is>
      </c>
    </row>
    <row r="7" ht="86" customHeight="1" s="40">
      <c r="A7" t="inlineStr">
        <is>
          <t>v25-03</t>
        </is>
      </c>
      <c r="B7" t="inlineStr">
        <is>
          <t>5-Oct-2026</t>
        </is>
      </c>
      <c r="C7" t="inlineStr">
        <is>
          <t>Bloomberg alternative assessed but not selected</t>
        </is>
      </c>
      <c r="D7" t="inlineStr">
        <is>
          <t>WP-06; source triangulation</t>
        </is>
      </c>
      <c r="E7" t="inlineStr">
        <is>
          <t>Bloomberg AI cross-check identified WGPDCBRA Index as a closest government-debt/GDP alternative but reported it as World-Bank-sourced and quarterly/sparse rather than a direct monthly BCB SGS 13762 feed. It is therefore retained only as a possible cross-check, not the baseline source. The official BCB series is preferred for concept, frequency and domestic-source fidelity.</t>
        </is>
      </c>
    </row>
    <row r="8" ht="86" customHeight="1" s="40">
      <c r="A8" t="inlineStr">
        <is>
          <t>v25-04</t>
        </is>
      </c>
      <c r="B8" t="inlineStr">
        <is>
          <t>5-Oct-2026</t>
        </is>
      </c>
      <c r="C8" t="inlineStr">
        <is>
          <t>Coverage and panel-month availability verified</t>
        </is>
      </c>
      <c r="D8" t="inlineStr">
        <is>
          <t>WP-06; Data Freeze Gate</t>
        </is>
      </c>
      <c r="E8" t="inlineStr">
        <is>
          <t>BCB SGS 13762 fully covers the current econometric-panel window: 164 distinct panel month-ends from 2010-12 through 2025-06 can be mapped with contemporaneous, L1 or L2 reference-month values with 0 missing observations. Values remain in native percentage points of GDP; no /100, *100, log, z-score or standardization is intended.</t>
        </is>
      </c>
    </row>
    <row r="9" ht="90" customHeight="1" s="40">
      <c r="A9" t="inlineStr">
        <is>
          <t>v25-05</t>
        </is>
      </c>
      <c r="B9" t="inlineStr">
        <is>
          <t>5-Oct-2026</t>
        </is>
      </c>
      <c r="C9" t="inlineStr">
        <is>
          <t>Uniform L2 fiscal timing convention selected</t>
        </is>
      </c>
      <c r="D9" t="inlineStr">
        <is>
          <t>WP-06; final panel rebuild</t>
        </is>
      </c>
      <c r="E9" t="inlineStr">
        <is>
          <t>Selected a uniform two-reference-month lag (L2) for public_debt_gdp as a transparent conservative/reproducible information-timing convention. Across 164 panel months, L1 versus L2 correlation is 0.997613, mean absolute difference 0.5295 percentage point of GDP and maximum absolute difference 2.92 pp. The thesis/tracker must not claim that L2 exactly reconstructs every historical BCB publication-vintage date; it is the chosen conservative rule for the controlled rebuild.</t>
        </is>
      </c>
    </row>
    <row r="10" ht="90" customHeight="1" s="40">
      <c r="A10" t="inlineStr">
        <is>
          <t>v25-06</t>
        </is>
      </c>
      <c r="B10" t="inlineStr">
        <is>
          <t>5-Oct-2026</t>
        </is>
      </c>
      <c r="C10" t="inlineStr">
        <is>
          <t>Legacy panel-builder reproducibility gap documented</t>
        </is>
      </c>
      <c r="D10" t="inlineStr">
        <is>
          <t>WP-06; final panel rebuild; code integrity</t>
        </is>
      </c>
      <c r="E10" t="inlineStr">
        <is>
          <t>Repository and Git-history searches found no tracked Python/notebook/do-file that constructs or overwrites panel_main_and_robustness.xlsx; the relevant scripts only read the submitted panel, consistent with the panel having been assembled manually. Historical regression outputs remain untouched. Remedy: introduce a reproducible controlled panel-construction step during the final rebuild instead of manually patching the XLSX.</t>
        </is>
      </c>
    </row>
    <row r="11" ht="90" customHeight="1" s="40">
      <c r="A11" t="inlineStr">
        <is>
          <t>v25-07</t>
        </is>
      </c>
      <c r="B11" t="inlineStr">
        <is>
          <t>5-Oct-2026</t>
        </is>
      </c>
      <c r="C11" t="inlineStr">
        <is>
          <t>Data Freeze Gate moves to accounting-information timing</t>
        </is>
      </c>
      <c r="D11" t="inlineStr">
        <is>
          <t>Dashboard; Revision Tracker; Action Sequence; Estimation Plan</t>
        </is>
      </c>
      <c r="E11" t="inlineStr">
        <is>
          <t>Fiscal-control specification is now closed. CURRENT: choose observation-date-defensible information-availability/lag rules for both cf_cash_oper_to_tot_asset and tot_debt_to_ebitda. Then align/document the residual-maturity BUS/252 helper and close the corporate-pricing rule. Only after those blockers are closed should one reproducible rebuild inject BCB SGS 13762 public_debt_gdp (L2), replace legacy synthetic_cds_brl with validated sovereign_spread_brl, freeze the panel and rerun FE-Driscoll-Kraay. No panel edits or regressions were run during this fiscal decision.</t>
        </is>
      </c>
    </row>
    <row r="12" ht="58" customHeight="1" s="40"/>
    <row r="13" ht="58" customHeight="1" s="40"/>
  </sheetData>
  <mergeCells count="2">
    <mergeCell ref="A2:E2"/>
    <mergeCell ref="A1:E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v26 Change Log</t>
        </is>
      </c>
    </row>
    <row r="2" ht="55" customHeight="1" s="40">
      <c r="A2" s="48" t="inlineStr">
        <is>
          <t>Changes introduced on 5-Oct-2026 after closing the joint accounting-information timing decision, validating Bloomberg point-in-time availability and vintage handling, quantifying the one-quarter fallback with zero sample loss, and moving the Data Freeze Gate to residual-maturity BUS/252 helper consistency.</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v26-01</t>
        </is>
      </c>
      <c r="B5" t="inlineStr">
        <is>
          <t>5-Oct-2026</t>
        </is>
      </c>
      <c r="C5" t="inlineStr">
        <is>
          <t>Historical point-in-time mechanism validated</t>
        </is>
      </c>
      <c r="D5" t="inlineStr">
        <is>
          <t>WP-06; Data Freeze Gate; final panel rebuild</t>
        </is>
      </c>
      <c r="E5" t="inlineStr">
        <is>
          <t>Bloomberg BQL company-financials tests confirmed that dates=&lt;obs_date&gt; retrieves the historical public-information vintage known as of the requested date. PETR4 examples showed 2010Q4 values still in force on 2011-04-29 and the switch to 2011Q1 on REVISION_DATE 2011-05-13. fill=PREV correctly carries the last available PIT value between revision/reporting dates. This rejects mechanical same-calendar-quarter mapping and fixed accounting L1/L2 as inferior to exact observation-date availability.</t>
        </is>
      </c>
    </row>
    <row r="6" ht="86" customHeight="1" s="40">
      <c r="A6" t="inlineStr">
        <is>
          <t>v26-02</t>
        </is>
      </c>
      <c r="B6" t="inlineStr">
        <is>
          <t>5-Oct-2026</t>
        </is>
      </c>
      <c r="C6" t="inlineStr">
        <is>
          <t>Restatement-vintage look-ahead identified</t>
        </is>
      </c>
      <c r="D6" t="inlineStr">
        <is>
          <t>WP-06; accounting controls; reproducibility</t>
        </is>
      </c>
      <c r="E6" t="inlineStr">
        <is>
          <t>Fixed-period Bloomberg tests showed that the local quarterly fundamental workbooks match Bloomberg's current/latest-restated historical values, while historical dates=&lt;obs_date&gt; values can differ materially. Therefore the legacy local workbooks cannot by themselves reconstruct what investors could have known at past observation dates; the final controlled rebuild must use/archive a historical PIT extract or an equivalent reproducible BQL query with extraction/provenance metadata.</t>
        </is>
      </c>
    </row>
    <row r="7" ht="86" customHeight="1" s="40">
      <c r="A7" t="inlineStr">
        <is>
          <t>v26-03</t>
        </is>
      </c>
      <c r="B7" t="inlineStr">
        <is>
          <t>5-Oct-2026</t>
        </is>
      </c>
      <c r="C7" t="inlineStr">
        <is>
          <t>Joint accounting timing rule selected</t>
        </is>
      </c>
      <c r="D7" t="inlineStr">
        <is>
          <t>WP-06; Estimation Plan; final panel rebuild</t>
        </is>
      </c>
      <c r="E7" t="inlineStr">
        <is>
          <t>Final common rule for cf_cash_oper_to_tot_asset and tot_debt_to_ebitda: at each exact bond obs_date, use Bloomberg quarterly PIT fundamentals and select the most recent fiscal quarter for which CF_CASH_FROM_OPER, BS_TOT_ASSET, SHORT_AND_LONG_TERM_DEBT and EBITDA are jointly non-missing. Compute both ratios from that same fiscal period and historical vintage. If the newest reported quarter is incomplete, use the immediately preceding quarter. Never mix fiscal periods across numerator/denominator or across the two accounting controls.</t>
        </is>
      </c>
    </row>
    <row r="8" ht="86" customHeight="1" s="40">
      <c r="A8" t="inlineStr">
        <is>
          <t>v26-04</t>
        </is>
      </c>
      <c r="B8" t="inlineStr">
        <is>
          <t>5-Oct-2026</t>
        </is>
      </c>
      <c r="C8" t="inlineStr">
        <is>
          <t>Exact thesis-panel coverage passed</t>
        </is>
      </c>
      <c r="D8" t="inlineStr">
        <is>
          <t>WP-06; Data Freeze Gate</t>
        </is>
      </c>
      <c r="E8" t="inlineStr">
        <is>
          <t>The exact 1,959 issuer-date pairs represented by the 4,229-row thesis panel were tested under current reported quarter plus one-quarter fallback. All 1,959 pairs resolve; 14 pairs require fallback (0.715%) and 0 pairs are unresolved. The strict daily-history diagnostic had only eight transient unresolved IVPR3B days (2014-05-12 to 2014-05-19), none of which is an actual thesis observation date.</t>
        </is>
      </c>
    </row>
    <row r="9" ht="90" customHeight="1" s="40">
      <c r="A9" t="inlineStr">
        <is>
          <t>v26-05</t>
        </is>
      </c>
      <c r="B9" t="inlineStr">
        <is>
          <t>5-Oct-2026</t>
        </is>
      </c>
      <c r="C9" t="inlineStr">
        <is>
          <t>Bond-row fallback impact quantified</t>
        </is>
      </c>
      <c r="D9" t="inlineStr">
        <is>
          <t>WP-06; final panel rebuild; sample preservation</t>
        </is>
      </c>
      <c r="E9" t="inlineStr">
        <is>
          <t>The 14 fallback issuer-date pairs map to 29 of 4,229 bond-level panel rows (0.686%) across 12 distinct bonds. These rows are retained using the immediately preceding jointly complete PIT quarter; accounting-timing remediation therefore causes zero sample loss.</t>
        </is>
      </c>
    </row>
    <row r="10" ht="90" customHeight="1" s="40">
      <c r="A10" t="inlineStr">
        <is>
          <t>v26-06</t>
        </is>
      </c>
      <c r="B10" t="inlineStr">
        <is>
          <t>5-Oct-2026</t>
        </is>
      </c>
      <c r="C10" t="inlineStr">
        <is>
          <t>Legacy panel remains untouched pending controlled rebuild</t>
        </is>
      </c>
      <c r="D10" t="inlineStr">
        <is>
          <t>WP-06; replication; code integrity</t>
        </is>
      </c>
      <c r="E10" t="inlineStr">
        <is>
          <t>The accounting timing decision is now closed conceptually, but panel_main_and_robustness.xlsx is not edited yet and regressions are not rerun. Because Git/repository history contains no tracked legacy panel builder, the final rebuild must introduce a reproducible construction step that combines the closed fiscal L2 rule, validated sovereign_spread_brl replacement, closed PIT accounting rule, corrected BUS/252 helper and finalized pricing rule, then freezes the authoritative panel once.</t>
        </is>
      </c>
    </row>
    <row r="11" ht="90" customHeight="1" s="40">
      <c r="A11" t="inlineStr">
        <is>
          <t>v26-07</t>
        </is>
      </c>
      <c r="B11" t="inlineStr">
        <is>
          <t>5-Oct-2026</t>
        </is>
      </c>
      <c r="C11" t="inlineStr">
        <is>
          <t>Data Freeze Gate moves to residual-maturity helper consistency</t>
        </is>
      </c>
      <c r="D11" t="inlineStr">
        <is>
          <t>Dashboard; Revision Tracker; Action Sequence; Estimation Plan</t>
        </is>
      </c>
      <c r="E11" t="inlineStr">
        <is>
          <t>Accounting-information timing is CLOSED. CURRENT: audit the reusable DayCounts('bus/252', calendar='cdr_anbima') implementation against the already-validated residual-maturity convention (ANBIMA BUS/252, terminal maturity date included when valid, 20 November holiday from 2024 onward) and determine whether changing the helper would affect other curve/spread calculations. After that, close the corporate-pricing/BVAL/no-fill-forward rule. Only then perform the one controlled reproducible rebuild/freeze and rerun FE-Driscoll-Kraay.</t>
        </is>
      </c>
    </row>
    <row r="12" ht="58" customHeight="1" s="40"/>
    <row r="13" ht="58" customHeight="1" s="40"/>
  </sheetData>
  <mergeCells count="2">
    <mergeCell ref="A2:E2"/>
    <mergeCell ref="A1:E1"/>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v27 Change Log</t>
        </is>
      </c>
    </row>
    <row r="2" ht="55" customHeight="1" s="40">
      <c r="A2" s="48" t="inlineStr">
        <is>
          <t>Changes introduced on 6-Oct-2026 after closing the residual-maturity BUS/252 helper-consistency audit, isolating the missing 20-Nov holiday in cdr_anbima, validating WLA 3,144/3,144 after the patch, and moving the Data Freeze Gate to the corporate-pricing/BVAL/no-fill-forward rule.</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v27-01</t>
        </is>
      </c>
      <c r="B5" t="inlineStr">
        <is>
          <t>6-Oct-2026</t>
        </is>
      </c>
      <c r="C5" t="inlineStr">
        <is>
          <t>Spread-construction BUS/252 code path traced</t>
        </is>
      </c>
      <c r="D5" t="inlineStr">
        <is>
          <t>WP-06; residual maturity; corporate spread; NTN-B/NSS</t>
        </is>
      </c>
      <c r="E5" t="inlineStr">
        <is>
          <t>compute_spreads() calculates corporate residual tenor with DayCounts("bus/252", calendar="cdr_anbima"). NTN-B YTM-to-price conversion uses the same helper for each payment date; Nelson-Siegel-Svensson instantiates the same DayCounts object for cash-flow discounting and maturity weighting; ntnb_tenor uses it only for the WLA/NTN-B splice boundary. The reusable helper therefore applies one internally consistent [start,end) business-day convention across spread construction. This audit is distinct from the previously documented legacy econometric days_to_maturity field convention; no global endpoint change was made.</t>
        </is>
      </c>
    </row>
    <row r="6" ht="86" customHeight="1" s="40">
      <c r="A6" t="inlineStr">
        <is>
          <t>v27-02</t>
        </is>
      </c>
      <c r="B6" t="inlineStr">
        <is>
          <t>6-Oct-2026</t>
        </is>
      </c>
      <c r="C6" t="inlineStr">
        <is>
          <t>WLA source dates, maturities and 21 corrected blocks validated</t>
        </is>
      </c>
      <c r="D6" t="inlineStr">
        <is>
          <t>WP-06; WLA/DAP provenance; Data Freeze Gate</t>
        </is>
      </c>
      <c r="E6" t="inlineStr">
        <is>
          <t>The production WLA workbook uses the documented corrected trading dates. Its 21 corrected-date blocks were reconciled against wla_replacement_dates_21_raw.xlsx: 351/351 date+ticker rows matched, 351/351 futures valuation/maturity dates matched, and 351/351 PX_LAST values/NaN states matched. The misleading legacy column name End of Month date nevertheless carries the actual contract FUTURES_VALUATION_DATE for matched rows.</t>
        </is>
      </c>
    </row>
    <row r="7" ht="86" customHeight="1" s="40">
      <c r="A7" t="inlineStr">
        <is>
          <t>v27-03</t>
        </is>
      </c>
      <c r="B7" t="inlineStr">
        <is>
          <t>6-Oct-2026</t>
        </is>
      </c>
      <c r="C7" t="inlineStr">
        <is>
          <t>Calendar mismatch quantified</t>
        </is>
      </c>
      <c r="D7" t="inlineStr">
        <is>
          <t>WP-06; WLA tenor; calendar audit</t>
        </is>
      </c>
      <c r="E7" t="inlineStr">
        <is>
          <t>Directly comparing production WLA Term with the current Python cdr_anbima BUS/252 helper over 3,144 rows produced 2,214 exact matches and 930 mismatches. Every difference was an integer multiple of 1/252, identifying a business-day-calendar discrepancy rather than rounding, scaling, rate-unit or interpolation error.</t>
        </is>
      </c>
    </row>
    <row r="8" ht="86" customHeight="1" s="40">
      <c r="A8" t="inlineStr">
        <is>
          <t>v27-04</t>
        </is>
      </c>
      <c r="B8" t="inlineStr">
        <is>
          <t>6-Oct-2026</t>
        </is>
      </c>
      <c r="C8" t="inlineStr">
        <is>
          <t>Root cause isolated to 20-Nov holiday from 2024</t>
        </is>
      </c>
      <c r="D8" t="inlineStr">
        <is>
          <t>WP-06; calendars.daycounts; cdr_anbima</t>
        </is>
      </c>
      <c r="E8" t="inlineStr">
        <is>
          <t>The cdr_anbima hard-coded holiday list contained no 20-Nov entries. A no-edit diagnostic that added 20-Nov for 2024 onward reconciled production WLA Term exactly for 3,144/3,144 rows with zero residual day gap. 20-Nov-2023 remains a business day under the selected boundary, so the correction begins in 2024. No B3-settlement-calendar substitution is appropriate.</t>
        </is>
      </c>
    </row>
    <row r="9" ht="90" customHeight="1" s="40">
      <c r="A9" t="inlineStr">
        <is>
          <t>v27-05</t>
        </is>
      </c>
      <c r="B9" t="inlineStr">
        <is>
          <t>6-Oct-2026</t>
        </is>
      </c>
      <c r="C9" t="inlineStr">
        <is>
          <t>Shared ANBIMA calendar patched and regression test added</t>
        </is>
      </c>
      <c r="D9" t="inlineStr">
        <is>
          <t>src/calendars/holidays/brazil/core.py; tests/test_daycounts.py</t>
        </is>
      </c>
      <c r="E9" t="inlineStr">
        <is>
          <t>cdr_anbima now programmatically adds 20-Nov for every year from 2024 through the existing calendar horizon and de-duplicates/sorts the holiday list. New tests assert that [2024-11-20, 2024-11-21) contains zero business days while the analogous 2023 interval contains one. The BUS/252 helper arithmetic and [start,end) endpoint semantics were not changed.</t>
        </is>
      </c>
    </row>
    <row r="10" ht="90" customHeight="1" s="40">
      <c r="A10" t="inlineStr">
        <is>
          <t>v27-06</t>
        </is>
      </c>
      <c r="B10" t="inlineStr">
        <is>
          <t>6-Oct-2026</t>
        </is>
      </c>
      <c r="C10" t="inlineStr">
        <is>
          <t>Post-patch reconciliation and targeted tests passed</t>
        </is>
      </c>
      <c r="D10" t="inlineStr">
        <is>
          <t>WP-06; code integrity; Data Freeze Gate</t>
        </is>
      </c>
      <c r="E10" t="inlineStr">
        <is>
          <t>Using the actual patched DayCounts helper, WLA Term reconciles 3,144/3,144 exactly with 0 mismatches and max absolute day gap 0. Targeted pytest suite tests/test_daycounts.py + tests/test_spread_calculator.py + tests/test_interpolation.py passed 5/5. git diff --check was clean. Fix committed as 2447da2: fix: align ANBIMA BUS252 calendar with Nov 20 holiday.</t>
        </is>
      </c>
    </row>
    <row r="11" ht="90" customHeight="1" s="40">
      <c r="A11" t="inlineStr">
        <is>
          <t>v27-07</t>
        </is>
      </c>
      <c r="B11" t="inlineStr">
        <is>
          <t>6-Oct-2026</t>
        </is>
      </c>
      <c r="C11" t="inlineStr">
        <is>
          <t>Data Freeze Gate moves to corporate-pricing rule</t>
        </is>
      </c>
      <c r="D11" t="inlineStr">
        <is>
          <t>Dashboard; Revision Tracker; Master Matrix; Action Sequence; Estimation Plan</t>
        </is>
      </c>
      <c r="E11" t="inlineStr">
        <is>
          <t>BUS/252 helper consistency is CLOSED. No changes were required to ntnb_real_curve.py, spread_calculator.py or hist_ipca_curve_contracts_db.xlsx, and no panel rebuild/regressions were run. CURRENT: close MR-25 / WP-09 pricing-source and missing-quote treatment (explicit BVAL/indicative rule plus no-fill-forward baseline test). After that, perform the one reproducible controlled panel rebuild/freeze with all previously closed fiscal, sovereign, accounting-timing and calendar decisions, then rerun FE-Driscoll-Kraay and targeted robustness.</t>
        </is>
      </c>
    </row>
    <row r="12" ht="58" customHeight="1" s="40"/>
    <row r="13" ht="58" customHeight="1" s="40"/>
  </sheetData>
  <mergeCells count="2">
    <mergeCell ref="A2:E2"/>
    <mergeCell ref="A1:E1"/>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v28 Change Log</t>
        </is>
      </c>
    </row>
    <row r="2" ht="55" customHeight="1" s="40">
      <c r="A2" s="48" t="inlineStr">
        <is>
          <t>Changes introduced on 7-Oct-2026 after closing the issuer-rating evidence audit, freezing ratings as descriptive rather than baseline controls, reconfirming the fiscal-control specification, recording the rating audit artifacts/commit, resolving the pricing/BVAL source-selection blocker, and moving the Data Freeze Gate to the reproducible panel-generation and validation step.</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v28-01</t>
        </is>
      </c>
      <c r="B5" t="inlineStr">
        <is>
          <t>7-Oct-2026</t>
        </is>
      </c>
      <c r="C5" t="inlineStr">
        <is>
          <t>Exact-sample global LT local-currency issuer-rating audit closed</t>
        </is>
      </c>
      <c r="D5" t="inlineStr">
        <is>
          <t>WP-05; MR-06; MR-07; ratings evidence</t>
        </is>
      </c>
      <c r="E5" t="inlineStr">
        <is>
          <t>Bloomberg BDP was evaluated on the exact 4,229 bond-month thesis observations using each bond_id, exact obs_date and RATING_AS_OF_DATE_OVERRIDE. Fields: S&amp;P RTG_SP_LT_LC_ISSUER_CREDIT, Moody's RTG_MDY_LC_CURR_ISSUER_RATING, Fitch RTG_FITCH_LT_LC_ISSUER_DEFAULT. Usable coverage: S&amp;P 1,572/4,229 (37.2%), Moody's 360 (8.5%), Fitch 1,461 (34.5%); &gt;=1 agency 1,760 (41.6%), &gt;=2 1,273 (30.1%), all three 360 (8.5%). Only 41/103 bonds and 17/48 legal issuers ever have a usable global-LC issuer rating, so this construct is not suitable as a baseline control without severe sample selection.</t>
        </is>
      </c>
    </row>
    <row r="6" ht="86" customHeight="1" s="40">
      <c r="A6" t="inlineStr">
        <is>
          <t>v28-02</t>
        </is>
      </c>
      <c r="B6" t="inlineStr">
        <is>
          <t>7-Oct-2026</t>
        </is>
      </c>
      <c r="C6" t="inlineStr">
        <is>
          <t>Brazilian national-scale issuer ratings retained as separate descriptive complement</t>
        </is>
      </c>
      <c r="D6" t="inlineStr">
        <is>
          <t>WP-05; MR-06; MR-07</t>
        </is>
      </c>
      <c r="E6" t="inlineStr">
        <is>
          <t>Separate national-scale fields were audited on the same exact sample: S&amp;P RTG_SP_NATIONAL_LT_ISSUER_CREDIT, Moody's RTG_MDY_NSR_ISSUER and Fitch RTG_FITCH_NATIONAL_LT. Usable coverage: S&amp;P 2,408 (56.9%), Moody's 542 (12.8%), Fitch 2,872 (67.9%); &gt;=1 agency 3,204 (75.8%), &gt;=2 2,105 (49.8%), all three 513 (12.1%). Coverage reaches 84/103 bonds, 37/48 legal issuers and 26/27 parent groups; 82 bonds are fully covered across their thesis window. Eight Fitch AA(dza) observations on YQ206351/YQ208159 were excluded as non-Brazil scale. National and global scales remain distinct and must not be pooled.</t>
        </is>
      </c>
    </row>
    <row r="7" ht="86" customHeight="1" s="40">
      <c r="A7" t="inlineStr">
        <is>
          <t>v28-03</t>
        </is>
      </c>
      <c r="B7" t="inlineStr">
        <is>
          <t>7-Oct-2026</t>
        </is>
      </c>
      <c r="C7" t="inlineStr">
        <is>
          <t>Issuer rating control frozen as descriptive evidence, not baseline regressor</t>
        </is>
      </c>
      <c r="D7" t="inlineStr">
        <is>
          <t>WP-05; MR-06; MR-07; Estimation Plan</t>
        </is>
      </c>
      <c r="E7" t="inlineStr">
        <is>
          <t>Decision follows Martin's 2-Oct scope guidance and the exact-sample coverage audit. Core FE-Driscoll-Kraay regressions remain rating-free. Preserve raw agency values separately; do not silently substitute ultimate-parent or issue ratings, do not backfill future ratings and do not manufacture a best/worst/average composite. Use the global LT LC evidence where available and the Brazilian national-scale evidence only as clearly labelled complementary descriptive support in the issuer/company table, appendix and jury response. Optional heterogeneity regressions remain post-core and subject to power.</t>
        </is>
      </c>
    </row>
    <row r="8" ht="86" customHeight="1" s="40">
      <c r="A8" t="inlineStr">
        <is>
          <t>v28-04</t>
        </is>
      </c>
      <c r="B8" t="inlineStr">
        <is>
          <t>7-Oct-2026</t>
        </is>
      </c>
      <c r="C8" t="inlineStr">
        <is>
          <t>Rating audit artifacts archived and committed</t>
        </is>
      </c>
      <c r="D8" t="inlineStr">
        <is>
          <t>Reproducibility; data provenance</t>
        </is>
      </c>
      <c r="E8" t="inlineStr">
        <is>
          <t>Audit workbooks were stored under datos_y_modelos/db/ratings/ as issuer_ratings_global_lc_bond_level_panel_audit.xlsx and issuer_ratings_national_bond_level_panel_audit.xlsx. They are audit/descriptive artifacts generated on the existing thesis sample and therefore must not be treated as canonical upstream inputs to rebuild that same baseline panel. Git commit b087203: Add issuer rating audit workbooks.</t>
        </is>
      </c>
    </row>
    <row r="9" ht="90" customHeight="1" s="40">
      <c r="A9" t="inlineStr">
        <is>
          <t>v28-05</t>
        </is>
      </c>
      <c r="B9" t="inlineStr">
        <is>
          <t>7-Oct-2026</t>
        </is>
      </c>
      <c r="C9" t="inlineStr">
        <is>
          <t>Fiscal-control specification reconfirmed frozen</t>
        </is>
      </c>
      <c r="D9" t="inlineStr">
        <is>
          <t>WP-06; MR-22; Estimation Plan</t>
        </is>
      </c>
      <c r="E9" t="inlineStr">
        <is>
          <t>Legacy debt_gdp/EHBBBR is a budget-balance flow and remains rejected as the debt-stock control. Final baseline replacement remains Banco Central do Brasil SGS 13762 Gross General Government Debt (% GDP), monthly percentage points of GDP, using the previously selected uniform L2 reference-month timing convention. FISCAL CONTROL — FROZEN. Implementation remains pending only inside the reproducible panel rebuild; do not reopen the concept.</t>
        </is>
      </c>
    </row>
    <row r="10" ht="90" customHeight="1" s="40">
      <c r="A10" t="inlineStr">
        <is>
          <t>v28-06</t>
        </is>
      </c>
      <c r="B10" t="inlineStr">
        <is>
          <t>7-Oct-2026</t>
        </is>
      </c>
      <c r="C10" t="inlineStr">
        <is>
          <t>Corporate-pricing/BVAL pre-rebuild blocker closed by frozen source-selection decision</t>
        </is>
      </c>
      <c r="D10" t="inlineStr">
        <is>
          <t>WP-09; MR-25; Data Freeze Gate</t>
        </is>
      </c>
      <c r="E10" t="inlineStr">
        <is>
          <t>The completed corporate-spread work had already replaced the problematic BVAL/indicative value with the next-best available source because of its odd convention. That source-selection decision is treated as solved and is not reopened absent material new evidence. BVAL/indicative semantics and the source hierarchy still require transparent documentation. Any alternative no-fill-forward/missing-price convention is retained only as a possible post-freeze sensitivity and no longer blocks construction of the reproducible panel.</t>
        </is>
      </c>
    </row>
    <row r="11" ht="90" customHeight="1" s="40">
      <c r="A11" t="inlineStr">
        <is>
          <t>v28-07</t>
        </is>
      </c>
      <c r="B11" t="inlineStr">
        <is>
          <t>7-Oct-2026</t>
        </is>
      </c>
      <c r="C11" t="inlineStr">
        <is>
          <t>Data Freeze Gate handed to reproducible panel-generation and validation</t>
        </is>
      </c>
      <c r="D11" t="inlineStr">
        <is>
          <t>WP-06; Action Sequence; Dashboard; Estimation Plan</t>
        </is>
      </c>
      <c r="E11" t="inlineStr">
        <is>
          <t>All pre-rebuild data/specification decisions are now frozen. NEXT: build a reproducible script that recreates panel_main_and_robustness.xlsx from canonical upstream datasets rather than manual assembly. Build to a separate candidate output; preserve bond_id x obs_date; implement the frozen fiscal, PIT-accounting, BUS/252, sovereign and pricing choices; keep rating audit workbooks out of the baseline builder; then validate row count, 103 bonds, date coverage, duplicates, missingness, units/scaling and every variable against the legacy workbook with expected differences documented. Do not overwrite the legacy workbook or rerun FE-DK until this reconciliation passes and the authoritative panel is frozen once.</t>
        </is>
      </c>
    </row>
    <row r="12" ht="58" customHeight="1" s="40"/>
    <row r="13" ht="58" customHeight="1" s="40"/>
  </sheetData>
  <mergeCells count="2">
    <mergeCell ref="A2:E2"/>
    <mergeCell ref="A1:E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v29 Change Log</t>
        </is>
      </c>
    </row>
    <row r="2" ht="55" customHeight="1" s="40">
      <c r="A2" s="48" t="inlineStr">
        <is>
          <t>Changes introduced on 9-Oct-2026 after substantially advancing the reproducible panel builder, reconfirming the frozen government metadata/ANDE-yield source hierarchy, and identifying the unresolved historical nominal sovereign coverage/mapping problem as the current WP-06 Data Freeze Gate blocker rather than reopening WP-02.</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v29-01</t>
        </is>
      </c>
      <c r="B5" t="inlineStr">
        <is>
          <t>9-Oct-2026</t>
        </is>
      </c>
      <c r="C5" t="inlineStr">
        <is>
          <t>Reproducible bond-month spine and corporate spread implemented</t>
        </is>
      </c>
      <c r="D5" t="inlineStr">
        <is>
          <t>WP-01; WP-06; Data Freeze Gate</t>
        </is>
      </c>
      <c r="E5" t="inlineStr">
        <is>
          <t>Builder now creates the revised 4,648-row bond_id x obs_date spine from canonical corporate monthly YTM plus metadata: 103 bonds, 48 issuers, 2010-12-30 to 2025-06-30, zero duplicate keys and complete maturity mapping. build_corporate_spread() reproduces production real-curve logic and geometric spread calculation for all 4,648 rows; corporate spread keys reconcile exactly with the spine. Legacy panel remains untouched.</t>
        </is>
      </c>
    </row>
    <row r="6" ht="86" customHeight="1" s="40">
      <c r="A6" t="inlineStr">
        <is>
          <t>v29-02</t>
        </is>
      </c>
      <c r="B6" t="inlineStr">
        <is>
          <t>9-Oct-2026</t>
        </is>
      </c>
      <c r="C6" t="inlineStr">
        <is>
          <t>Macro, accounting, issue-size and residual-maturity modules advanced</t>
        </is>
      </c>
      <c r="D6" t="inlineStr">
        <is>
          <t>WP-03; WP-06; MR-14; residual maturity</t>
        </is>
      </c>
      <c r="E6" t="inlineStr">
        <is>
          <t>Macro builder maps VIX, USSOC 3M OIS, USD/BRL and GDP across 175 revised months with complete coverage. PIT accounting controls resolve all 2,114 issuer-date pairs: 2,094 primary quarter, 19 q-1 and one documented q-2 exception (IVPR3B BZ at 2025-06-30) because both newer quarters are jointly absent across CFO/assets/debt/EBITDA. Relative issue size resolves all rows under its own same-quarter/q-1/q-2 rule: 4,602 primary, 35 q-1, 11 q-2; 98/103 bonds vary. Residual maturity now uses the corrected shared cdr_anbima BUS/252 [start,end) helper.</t>
        </is>
      </c>
    </row>
    <row r="7" ht="86" customHeight="1" s="40">
      <c r="A7" t="inlineStr">
        <is>
          <t>v29-03</t>
        </is>
      </c>
      <c r="B7" t="inlineStr">
        <is>
          <t>9-Oct-2026</t>
        </is>
      </c>
      <c r="C7" t="inlineStr">
        <is>
          <t>Public debt/GDP ingestion implemented; uniform L2 still pending final verification</t>
        </is>
      </c>
      <c r="D7" t="inlineStr">
        <is>
          <t>WP-06; MR-22; fiscal control</t>
        </is>
      </c>
      <c r="E7" t="inlineStr">
        <is>
          <t>BCB SGS 13762 Gross General Government Debt (% GDP) source ingestion and 175-month matching are implemented with no missing source months. The conceptual fiscal decision remains frozen, but the builder must still apply/verify the previously selected uniform L2 reference-month timing before the panel can freeze. Do not treat contemporaneous source-month values as the final baseline until this check is closed.</t>
        </is>
      </c>
    </row>
    <row r="8" ht="86" customHeight="1" s="40">
      <c r="A8" t="inlineStr">
        <is>
          <t>v29-04</t>
        </is>
      </c>
      <c r="B8" t="inlineStr">
        <is>
          <t>9-Oct-2026</t>
        </is>
      </c>
      <c r="C8" t="inlineStr">
        <is>
          <t>Canonical sovereign source hierarchy reconfirmed; WP-02 remains closed</t>
        </is>
      </c>
      <c r="D8" t="inlineStr">
        <is>
          <t>WP-02; WP-06; sovereign governance</t>
        </is>
      </c>
      <c r="E8" t="inlineStr">
        <is>
          <t>Government-bond characteristics/metadata remain sourced from datos_y_modelos/Domestic/domestic_sovereign_curve_brazil.xlsx. Government YAS history remains sourced from datos_y_modelos/db/brazil_domestic_govt_bonds/govt_ya_ande.v3.xlsx, the ANDE normalized-yield file retained after the earlier NTN-B 2012-2013 field/price-like contamination correction. The validated WP-02 arithmetic is unchanged: 252 LTN + 330 NTN-F observations, government YTM versus same-date exact BUS/252 tenor DI, geometric bps, commit b551414. No new Bloomberg source has been adopted.</t>
        </is>
      </c>
    </row>
    <row r="9" ht="90" customHeight="1" s="40">
      <c r="A9" t="inlineStr">
        <is>
          <t>v29-05</t>
        </is>
      </c>
      <c r="B9" t="inlineStr">
        <is>
          <t>9-Oct-2026</t>
        </is>
      </c>
      <c r="C9" t="inlineStr">
        <is>
          <t>Full-panel sovereign coverage audit identifies new WP-06 blocker</t>
        </is>
      </c>
      <c r="D9" t="inlineStr">
        <is>
          <t>WP-06; Data Freeze Gate; sovereign panel mapping</t>
        </is>
      </c>
      <c r="E9" t="inlineStr">
        <is>
          <t>The 582 validated nominal sovereign observations span only 114 monthly dates from 2016-01-29 to 2025-06-30, whereas the revised corporate spine spans 175 dates from 2010-12-30 to 2025-06-30. Exact-date overlap is 114 dates; 61 corporate dates and 730/4,648 corporate rows have no contemporaneous nominal sovereign curve. Corporate tenor positions using the available same-date range: 1,309 inside range (28.16%), 1,934 below range (41.61%), 675 above range (14.52%), 730 no exact-date curve (15.71%). Every sovereign date has at least some out-of-range corporate tenor.</t>
        </is>
      </c>
    </row>
    <row r="10" ht="90" customHeight="1" s="40">
      <c r="A10" t="inlineStr">
        <is>
          <t>v29-06</t>
        </is>
      </c>
      <c r="B10" t="inlineStr">
        <is>
          <t>9-Oct-2026</t>
        </is>
      </c>
      <c r="C10" t="inlineStr">
        <is>
          <t>Current nominal universe is too thin for automatic interpolation/NSS</t>
        </is>
      </c>
      <c r="D10" t="inlineStr">
        <is>
          <t>WP-06; sovereign mapping methodology</t>
        </is>
      </c>
      <c r="E10" t="inlineStr">
        <is>
          <t>The first 24 sovereign dates (2016-2017) have only one nominal sovereign tenor per date; the next 24 dates have only two. Therefore same-date cross-sectional interpolation or a parametric NSS/NS fit is not identified for much of the period. The old add_synthetic_cds_to_panel.py is explicitly rejected: it used only the latest surface row, parsed 6-month as 6 years and estimated an inactive tau2 parameter. No truncation, one-bond extrapolation or legacy latest-curve reuse is allowed by default.</t>
        </is>
      </c>
    </row>
    <row r="11" ht="90" customHeight="1" s="40">
      <c r="A11" t="inlineStr">
        <is>
          <t>v29-07</t>
        </is>
      </c>
      <c r="B11" t="inlineStr">
        <is>
          <t>9-Oct-2026</t>
        </is>
      </c>
      <c r="C11" t="inlineStr">
        <is>
          <t>Historical-universe root cause isolated upstream</t>
        </is>
      </c>
      <c r="D11" t="inlineStr">
        <is>
          <t>WP-06; sovereign source coverage; reproducibility</t>
        </is>
      </c>
      <c r="E11" t="inlineStr">
        <is>
          <t>The canonical metadata workbook contains a late/current government-bond universe (earliest maturity 2025-07-01); nominal YAS columns accordingly begin with NTN-F in Jan-2016 and LTN in Jan-2022, while NTN-B history reaches back to 2010. Daily govt_ya.v1.xlsx shows the same nominal start boundaries, so monthly aggregation is not the cause. Git history contains no older committed sovereign universe. Code audit confirms load_govt_bond_data() only loads the supplied workbook and main.py first intersects metadata IDs with YAS columns before filtering by LTN/NTN-F; downstream code cannot recover matured historical nominal securities.</t>
        </is>
      </c>
    </row>
    <row r="12" ht="90" customHeight="1" s="40">
      <c r="A12" t="inlineStr">
        <is>
          <t>v29-08</t>
        </is>
      </c>
      <c r="B12" t="inlineStr">
        <is>
          <t>9-Oct-2026</t>
        </is>
      </c>
      <c r="C12" t="inlineStr">
        <is>
          <t>Data Freeze Gate narrowed to sovereign mapping plus final L2 debt timing</t>
        </is>
      </c>
      <c r="D12" t="inlineStr">
        <is>
          <t>WP-06; Action Sequence; Estimation Plan</t>
        </is>
      </c>
      <c r="E12" t="inlineStr">
        <is>
          <t>WP-02 remains Done at the source/formula level. The current blocker is WP-06: obtain/document a defensible contemporaneous sovereign_spread_brl mapping for the intended estimation sample, preserving the validated nominal LTN/NTN-F-vs-DI definition and without silently averaging duplicate instruments, extrapolating sparse curves, truncating the thesis sample or reviving the legacy synthetic-CDS/NSS mapper. Then apply/verify public_debt_gdp L2, write a separate candidate panel, run full reconciliation and freeze once. No regressions until this passes.</t>
        </is>
      </c>
    </row>
    <row r="13" ht="58" customHeight="1" s="40"/>
  </sheetData>
  <mergeCells count="2">
    <mergeCell ref="A2:E2"/>
    <mergeCell ref="A1:E1"/>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4.5"/>
  <cols>
    <col width="12" customWidth="1" style="40" min="1" max="1"/>
    <col width="16" customWidth="1" style="40" min="2" max="2"/>
    <col width="28" customWidth="1" style="40" min="3" max="3"/>
    <col width="46" customWidth="1" style="40" min="4" max="4"/>
    <col width="76" customWidth="1" style="40" min="5" max="5"/>
  </cols>
  <sheetData>
    <row r="1" ht="26" customHeight="1" s="40">
      <c r="A1" s="45" t="inlineStr">
        <is>
          <t>TFM Master Revision Matrix - v30 Change Log</t>
        </is>
      </c>
    </row>
    <row r="2" ht="55" customHeight="1" s="40">
      <c r="A2" s="48" t="inlineStr">
        <is>
          <t>Changes introduced on 9-Oct-2026 after implementing the frozen sovereign-panel mapping and public-debt L2 timing, writing and reconciling the reproducible 4,648-row econometrics panel, closing the Data Freeze Gate, and committing the frozen package under 23435a4.</t>
        </is>
      </c>
    </row>
    <row r="3">
      <c r="A3" s="22" t="n"/>
      <c r="B3" s="22" t="n"/>
      <c r="C3" s="22" t="n"/>
      <c r="D3" s="22" t="n"/>
      <c r="E3" s="22" t="n"/>
    </row>
    <row r="4" ht="58" customHeight="1" s="40">
      <c r="A4" t="inlineStr">
        <is>
          <t>ID</t>
        </is>
      </c>
      <c r="B4" t="inlineStr">
        <is>
          <t>Date</t>
        </is>
      </c>
      <c r="C4" t="inlineStr">
        <is>
          <t>Change</t>
        </is>
      </c>
      <c r="D4" t="inlineStr">
        <is>
          <t>Affected items</t>
        </is>
      </c>
      <c r="E4" t="inlineStr">
        <is>
          <t>Detail</t>
        </is>
      </c>
    </row>
    <row r="5" ht="86" customHeight="1" s="40">
      <c r="A5" t="inlineStr">
        <is>
          <t>v30-01</t>
        </is>
      </c>
      <c r="B5" t="inlineStr">
        <is>
          <t>9-Oct-2026</t>
        </is>
      </c>
      <c r="C5" t="inlineStr">
        <is>
          <t>Sovereign panel mapping frozen and implemented</t>
        </is>
      </c>
      <c r="D5" t="inlineStr">
        <is>
          <t>WP-02; WP-06; Sovereign Risk (BRL)</t>
        </is>
      </c>
      <c r="E5" t="inlineStr">
        <is>
          <t>WP-02 source/formula remains unchanged: nominal LTN/NTN-F government spread over same-date exact-tenor DI. WP-06 now maps those sovereign nodes into the corporate panel on the same date only: flat-forward interpolation between tenor nodes, endpoint-flat mapping outside the same-date range, and single-node flat mapping when only one node exists. No backward time extrapolation into 2010-2015. Result: 3,918 populated bond-dates and 730 intentional pre-2016 missing rows; legacy synthetic-CDS/latest-curve logic remains rejected.</t>
        </is>
      </c>
    </row>
    <row r="6" ht="86" customHeight="1" s="40">
      <c r="A6" t="inlineStr">
        <is>
          <t>v30-02</t>
        </is>
      </c>
      <c r="B6" t="inlineStr">
        <is>
          <t>9-Oct-2026</t>
        </is>
      </c>
      <c r="C6" t="inlineStr">
        <is>
          <t>BCB SGS 13762 uniform-L2 timing implemented and verified</t>
        </is>
      </c>
      <c r="D6" t="inlineStr">
        <is>
          <t>WP-06; MR-22; fiscal control</t>
        </is>
      </c>
      <c r="E6" t="inlineStr">
        <is>
          <t>The frozen fiscal decision is now implemented in the builder: Gross General Government Debt (% GDP), BCB SGS 13762, panel month t uses reference month t-2. The 175 revised panel months are covered with zero missing values. The legacy EHBBBR budget-balance series remains rejected. MR-22 now waits only for post-freeze coefficient/significance wording after the DK rerun.</t>
        </is>
      </c>
    </row>
    <row r="7" ht="86" customHeight="1" s="40">
      <c r="A7" t="inlineStr">
        <is>
          <t>v30-03</t>
        </is>
      </c>
      <c r="B7" t="inlineStr">
        <is>
          <t>9-Oct-2026</t>
        </is>
      </c>
      <c r="C7" t="inlineStr">
        <is>
          <t>Rebuilt candidate panel assembled and validated</t>
        </is>
      </c>
      <c r="D7" t="inlineStr">
        <is>
          <t>WP-06; Data Freeze Gate</t>
        </is>
      </c>
      <c r="E7" t="inlineStr">
        <is>
          <t>panel_main_and_robustness_rebuilt.xlsx was generated at 4,648 rows x 19 columns, 103 bonds, 48 issuers, 2010-12-30 to 2025-06-30 and zero duplicate bond-month keys. All baseline variables are complete except the explicitly documented sovereign pre-2016 gap: 3,918 sovereign values present and 730 missing. The legacy panel_main_and_robustness.xlsx was not overwritten.</t>
        </is>
      </c>
    </row>
    <row r="8" ht="86" customHeight="1" s="40">
      <c r="A8" t="inlineStr">
        <is>
          <t>v30-04</t>
        </is>
      </c>
      <c r="B8" t="inlineStr">
        <is>
          <t>9-Oct-2026</t>
        </is>
      </c>
      <c r="C8" t="inlineStr">
        <is>
          <t>Legacy-to-rebuilt sample bridge reconciled</t>
        </is>
      </c>
      <c r="D8" t="inlineStr">
        <is>
          <t>WP-06; reproducibility</t>
        </is>
      </c>
      <c r="E8" t="inlineStr">
        <is>
          <t>Bond_id x month comparison finds 4,226 common observations, 422 rebuilt-only observations and three legacy-only rows, for the expected net +419 rows from 4,229 to 4,648. The three removals are AN275276 Corp May-Jul 2017: the revised raw YTM series uses the frozen ANDE source override and begins 29-Aug-2017, so those earlier legacy BVAL-era rows are intentionally absent.</t>
        </is>
      </c>
    </row>
    <row r="9" ht="90" customHeight="1" s="40">
      <c r="A9" t="inlineStr">
        <is>
          <t>v30-05</t>
        </is>
      </c>
      <c r="B9" t="inlineStr">
        <is>
          <t>9-Oct-2026</t>
        </is>
      </c>
      <c r="C9" t="inlineStr">
        <is>
          <t>Unchanged variable blocks reconcile exactly</t>
        </is>
      </c>
      <c r="D9" t="inlineStr">
        <is>
          <t>WP-06; macro controls; metadata; issue size</t>
        </is>
      </c>
      <c r="E9" t="inlineStr">
        <is>
          <t>Across all 4,226 common bond-months, issuer, maturity, bond type, exchange/parent ID and sector match exactly. VIX, nominal Fed 3M OIS, USD/BRL and GDP YoY also match exactly with zero numerical difference. amount_issued_to_bs_tot_asset matches 4,226/4,226 observations (max numerical difference at floating-point noise only). This validates the rebuilt joins/month alignment.</t>
        </is>
      </c>
    </row>
    <row r="10" ht="90" customHeight="1" s="40">
      <c r="A10" t="inlineStr">
        <is>
          <t>v30-06</t>
        </is>
      </c>
      <c r="B10" t="inlineStr">
        <is>
          <t>9-Oct-2026</t>
        </is>
      </c>
      <c r="C10" t="inlineStr">
        <is>
          <t>Expected revised-variable differences documented</t>
        </is>
      </c>
      <c r="D10" t="inlineStr">
        <is>
          <t>WP-01; WP-06; MR-22; accounting; maturity</t>
        </is>
      </c>
      <c r="E10" t="inlineStr">
        <is>
          <t>Corporate spread changes on all common rows because the dependent-variable construction was deliberately replaced; legacy debt_gdp changes on all rows because EHBBBR budget balance was replaced by SGS 13762 debt/GDP. Liquidity and Debt/EBITDA differ where the frozen PIT accounting timing differs from the legacy assembly. Residual maturity remains essentially identical: maximum difference 1/252 year. Sovereign is a deliberately different construct and is unavailable pre-2016 rather than backfilled.</t>
        </is>
      </c>
    </row>
    <row r="11" ht="90" customHeight="1" s="40">
      <c r="A11" t="inlineStr">
        <is>
          <t>v30-07</t>
        </is>
      </c>
      <c r="B11" t="inlineStr">
        <is>
          <t>9-Oct-2026</t>
        </is>
      </c>
      <c r="C11" t="inlineStr">
        <is>
          <t>Econometric Panel Data Freeze Gate passed; WP-07 activated</t>
        </is>
      </c>
      <c r="D11" t="inlineStr">
        <is>
          <t>WP-06; WP-07; Action Sequence; Estimation Plan</t>
        </is>
      </c>
      <c r="E11" t="inlineStr">
        <is>
          <t>WP-06 status changes from In progress to Done. The authoritative estimation candidate is the reproducibly generated rebuilt panel; the legacy workbook remains archival comparison only. WP-07 is now In progress: audit the exact bond-FE / Driscoll-Kraay setup, lock covariance/lag choices and diagnostics, and produce the single four-column core table before WP-08 robustness.</t>
        </is>
      </c>
    </row>
    <row r="12" ht="90" customHeight="1" s="40">
      <c r="A12" t="inlineStr">
        <is>
          <t>v30-08</t>
        </is>
      </c>
      <c r="B12" t="inlineStr">
        <is>
          <t>9-Oct-2026</t>
        </is>
      </c>
      <c r="C12" t="inlineStr">
        <is>
          <t>Frozen panel package committed for reproducibility</t>
        </is>
      </c>
      <c r="D12" t="inlineStr">
        <is>
          <t>Git; reproducibility; WP-06</t>
        </is>
      </c>
      <c r="E12" t="inlineStr">
        <is>
          <t>Git commit 23435a4 — Build reproducible frozen econometrics panel — records scripts/build_econometrics_panel.py, the rebuilt panel, revised corporate raw/monthly yields, BCB SGS 13762 source CSV and the four issuer-fundamental source workbooks. Staging deliberately excluded unrelated README, presentation, tracker history, thesis documents and temporary files. Next repository action: commit this v30 tracker separately and push the current branch for remote safety backup.</t>
        </is>
      </c>
    </row>
    <row r="13" ht="58" customHeight="1" s="40"/>
  </sheetData>
  <mergeCells count="2">
    <mergeCell ref="A2:E2"/>
    <mergeCell ref="A1:E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TFM Master Revision Matrix v21</dc:title>
  <dcterms:created xmlns:dcterms="http://purl.org/dc/terms/" xmlns:xsi="http://www.w3.org/2001/XMLSchema-instance" xsi:type="dcterms:W3CDTF">2026-10-02T21:56:09Z</dcterms:created>
  <dcterms:modified xmlns:dcterms="http://purl.org/dc/terms/" xmlns:xsi="http://www.w3.org/2001/XMLSchema-instance" xsi:type="dcterms:W3CDTF">2026-10-09T20:05:22Z</dcterms:modified>
</cp:coreProperties>
</file>