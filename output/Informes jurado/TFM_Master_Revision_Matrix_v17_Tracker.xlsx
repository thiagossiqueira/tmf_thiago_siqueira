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Overlap Map" sheetId="8" state="visible" r:id="rId8"/>
    <sheet xmlns:r="http://schemas.openxmlformats.org/officeDocument/2006/relationships" name="Action Sequence" sheetId="9" state="visible" r:id="rId9"/>
    <sheet xmlns:r="http://schemas.openxmlformats.org/officeDocument/2006/relationships" name="Estimation Plan" sheetId="10" state="visible" r:id="rId10"/>
    <sheet xmlns:r="http://schemas.openxmlformats.org/officeDocument/2006/relationships" name="v4 Change Log" sheetId="11" state="visible" r:id="rId11"/>
    <sheet xmlns:r="http://schemas.openxmlformats.org/officeDocument/2006/relationships" name="v5 Change Log" sheetId="12" state="visible" r:id="rId12"/>
    <sheet xmlns:r="http://schemas.openxmlformats.org/officeDocument/2006/relationships" name="v6 Change Log" sheetId="13" state="visible" r:id="rId13"/>
    <sheet xmlns:r="http://schemas.openxmlformats.org/officeDocument/2006/relationships" name="v7 Change Log" sheetId="14" state="visible" r:id="rId14"/>
    <sheet xmlns:r="http://schemas.openxmlformats.org/officeDocument/2006/relationships" name="v8 Change Log" sheetId="15" state="visible" r:id="rId15"/>
    <sheet xmlns:r="http://schemas.openxmlformats.org/officeDocument/2006/relationships" name="v9 Change Log" sheetId="16" state="visible" r:id="rId16"/>
    <sheet xmlns:r="http://schemas.openxmlformats.org/officeDocument/2006/relationships" name="v10 Change Log" sheetId="17" state="visible" r:id="rId17"/>
    <sheet xmlns:r="http://schemas.openxmlformats.org/officeDocument/2006/relationships" name="v11 Change Log" sheetId="18" state="visible" r:id="rId18"/>
    <sheet xmlns:r="http://schemas.openxmlformats.org/officeDocument/2006/relationships" name="v12 Change Log" sheetId="19" state="visible" r:id="rId19"/>
    <sheet xmlns:r="http://schemas.openxmlformats.org/officeDocument/2006/relationships" name="v13 Change Log" sheetId="20" state="visible" r:id="rId20"/>
    <sheet xmlns:r="http://schemas.openxmlformats.org/officeDocument/2006/relationships" name="v14 Change Log" sheetId="21" state="visible" r:id="rId21"/>
    <sheet xmlns:r="http://schemas.openxmlformats.org/officeDocument/2006/relationships" name="v15 Change Log" sheetId="22" state="visible" r:id="rId22"/>
    <sheet xmlns:r="http://schemas.openxmlformats.org/officeDocument/2006/relationships" name="v16 Change Log" sheetId="23" state="visible" r:id="rId23"/>
    <sheet xmlns:r="http://schemas.openxmlformats.org/officeDocument/2006/relationships" name="v17 Change Log" sheetId="24" state="visible" r:id="rId24"/>
  </sheets>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color theme="1"/>
      <sz val="11"/>
    </font>
    <font>
      <name val="Calibri"/>
      <b val="1"/>
      <color rgb="FFFFFFFF"/>
      <sz val="16"/>
    </font>
    <font>
      <name val="Calibri"/>
      <i val="1"/>
      <color rgb="FF595959"/>
      <sz val="10"/>
    </font>
    <font>
      <name val="Calibri"/>
      <b val="1"/>
      <color rgb="FFFFFFFF"/>
      <sz val="11"/>
    </font>
    <font>
      <name val="Calibri"/>
      <b val="1"/>
      <color rgb="FF1F4E78"/>
      <sz val="11"/>
    </font>
    <font>
      <name val="Calibri"/>
      <b val="1"/>
      <color rgb="FFFFFFFF"/>
      <sz val="10"/>
    </font>
    <font>
      <name val="Calibri"/>
      <color rgb="FF000000"/>
      <sz val="9"/>
    </font>
    <font>
      <name val="Calibri"/>
      <b val="1"/>
      <color rgb="FF000000"/>
      <sz val="11"/>
    </font>
    <font>
      <name val="Calibri"/>
      <b val="1"/>
      <sz val="11"/>
    </font>
    <font>
      <name val="Calibri"/>
      <i val="1"/>
      <color rgb="FF666666"/>
      <sz val="9"/>
    </font>
    <font>
      <name val="Calibri"/>
      <b val="1"/>
      <color rgb="FF0000FF"/>
      <sz val="11"/>
    </font>
    <font>
      <name val="Calibri"/>
      <color rgb="FF0000FF"/>
      <sz val="11"/>
    </font>
    <font>
      <name val="Calibri"/>
      <b val="1"/>
      <color rgb="FF000000"/>
      <sz val="11"/>
    </font>
    <font>
      <name val="Calibri"/>
      <color rgb="FF008000"/>
      <sz val="9"/>
    </font>
    <font>
      <name val="Calibri"/>
      <b val="1"/>
      <sz val="11"/>
    </font>
    <font>
      <name val="Calibri"/>
      <b val="1"/>
      <color rgb="FFC00000"/>
      <sz val="11"/>
    </font>
  </fonts>
  <fills count="13">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DDEBF7"/>
      </patternFill>
    </fill>
    <fill>
      <patternFill patternType="solid">
        <fgColor rgb="FFF4CCCC"/>
      </patternFill>
    </fill>
    <fill>
      <patternFill patternType="solid">
        <fgColor rgb="FFFCE4D6"/>
      </patternFill>
    </fill>
    <fill>
      <patternFill patternType="solid">
        <fgColor rgb="FFE2F0D9"/>
      </patternFill>
    </fill>
    <fill>
      <patternFill patternType="solid">
        <fgColor rgb="FFE4DFEC"/>
      </patternFill>
    </fill>
    <fill>
      <patternFill patternType="solid">
        <fgColor rgb="FFC00000"/>
      </patternFill>
    </fill>
  </fills>
  <borders count="7">
    <border/>
    <border>
      <bottom style="medium">
        <color rgb="FF1F4E78"/>
      </bottom>
    </border>
    <border>
      <bottom style="thin">
        <color rgb="FFD9E1F2"/>
      </bottom>
    </border>
    <border>
      <bottom style="medium">
        <color rgb="FF1F4E78"/>
      </bottom>
    </border>
    <border>
      <bottom style="thin">
        <color rgb="FFD9E1F2"/>
      </bottom>
    </border>
    <border>
      <bottom style="thin">
        <color rgb="FFD9E1F2"/>
      </bottom>
    </border>
    <border>
      <bottom style="medium">
        <color rgb="FF1F4E78"/>
      </bottom>
    </border>
  </borders>
  <cellStyleXfs count="1">
    <xf numFmtId="0" fontId="0" fillId="0" borderId="0"/>
  </cellStyleXfs>
  <cellXfs count="57">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0" fontId="0" fillId="0" borderId="4" pivotButton="0" quotePrefix="0" xfId="0"/>
    <xf numFmtId="0" fontId="6" fillId="0" borderId="5"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xf numFmtId="0" fontId="3" fillId="4" borderId="0" applyAlignment="1" pivotButton="0" quotePrefix="0" xfId="0">
      <alignment horizontal="left" vertical="center"/>
    </xf>
    <xf numFmtId="0" fontId="0" fillId="0" borderId="0" pivotButton="0" quotePrefix="0" xfId="0"/>
    <xf numFmtId="0" fontId="6" fillId="0" borderId="5" applyAlignment="1" pivotButton="0" quotePrefix="0" xfId="0">
      <alignment vertical="top" wrapText="1"/>
    </xf>
    <xf numFmtId="0" fontId="0" fillId="0" borderId="4"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horizontal="left" vertical="center"/>
    </xf>
    <xf numFmtId="0" fontId="5" fillId="5" borderId="6" applyAlignment="1" pivotButton="0" quotePrefix="0" xfId="0">
      <alignment horizontal="center" vertical="center" wrapText="1"/>
    </xf>
    <xf numFmtId="0" fontId="0" fillId="0" borderId="3" pivotButton="0" quotePrefix="0" xfId="0"/>
    <xf numFmtId="0" fontId="2" fillId="3" borderId="0" applyAlignment="1" pivotButton="0" quotePrefix="0" xfId="0">
      <alignment vertical="top" wrapText="1"/>
    </xf>
    <xf numFmtId="164" fontId="0" fillId="0" borderId="0" applyAlignment="1" pivotButton="0" quotePrefix="0" xfId="0">
      <alignment vertical="top" wrapText="1"/>
    </xf>
    <xf numFmtId="0" fontId="9" fillId="0" borderId="0" applyAlignment="1" pivotButton="0" quotePrefix="0" xfId="0">
      <alignment wrapText="1"/>
    </xf>
    <xf numFmtId="9" fontId="0" fillId="0" borderId="0" applyAlignment="1" pivotButton="0" quotePrefix="0" xfId="0">
      <alignment vertical="top" wrapText="1"/>
    </xf>
    <xf numFmtId="0" fontId="3" fillId="4" borderId="0" applyAlignment="1" pivotButton="0" quotePrefix="0" xfId="0">
      <alignment horizontal="left" vertical="top" wrapText="1"/>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0" borderId="6" pivotButton="0" quotePrefix="0" xfId="0"/>
    <xf numFmtId="0" fontId="0" fillId="0" borderId="5"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15"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FF17365D"/>
    <outlinePr summaryBelow="1" summaryRight="1"/>
    <pageSetUpPr/>
  </sheetPr>
  <dimension ref="A1:E49"/>
  <sheetViews>
    <sheetView showGridLines="0" workbookViewId="0">
      <selection activeCell="A1" sqref="A1"/>
    </sheetView>
  </sheetViews>
  <sheetFormatPr baseColWidth="8" defaultRowHeight="14.5"/>
  <cols>
    <col width="30" customWidth="1" style="40" min="1" max="1"/>
    <col width="48" customWidth="1" style="40" min="2" max="2"/>
    <col width="18" customWidth="1" style="40" min="3" max="3"/>
    <col width="28" customWidth="1" style="40" min="4" max="4"/>
    <col width="24" customWidth="1" style="40" min="5" max="5"/>
  </cols>
  <sheetData>
    <row r="1" ht="26" customHeight="1" s="40">
      <c r="A1" s="45" t="inlineStr">
        <is>
          <t>TFM - Master Revision Matrix v17</t>
        </is>
      </c>
    </row>
    <row r="2" ht="42" customHeight="1" s="40">
      <c r="A2" s="48" t="inlineStr">
        <is>
          <t>Single source of truth for the jury-revision process. Updated 2-Oct-2026: the Econometric Panel Data Freeze Gate remains active. The pre-freeze audits for VIX, nominal Fed 3M Forward and nominal USD/BRL are complete. USD/BRL passed the same six-stage audit: source/ticker recorded as USDBRL Curncy; clean monthly history over the thesis window; end-of-month/last-weekday convention; exact month-by-month mapping into all 4,229 panel rows across 164 panel months; no baseline transformation or rescaling; and an economic label clarified as nominal USD/BRL in BRL per USD, where an increase denotes BRL depreciation. The original Bloomberg formula is not retained in the values-only macro workbook, so that provenance limitation remains documented. Current pre-freeze work moves to GDP YoY and then the remaining baseline explanatory variables. No final baseline, diagnostic or robustness regression should be rerun before the gate passes.</t>
        </is>
      </c>
    </row>
    <row r="4" ht="22" customHeight="1" s="40">
      <c r="A4" s="39" t="inlineStr">
        <is>
          <t>Purpose and governance</t>
        </is>
      </c>
    </row>
    <row r="5" ht="38" customHeight="1" s="40">
      <c r="A5" s="1" t="inlineStr">
        <is>
          <t>Purpose</t>
        </is>
      </c>
      <c r="B5" s="43" t="inlineStr">
        <is>
          <t>Use the Master Matrix as the authoritative record of every jury issue, Martin's disposition, the required evidence/change, dependencies and completion status.</t>
        </is>
      </c>
    </row>
    <row r="6" ht="48" customHeight="1" s="40">
      <c r="A6" s="1" t="inlineStr">
        <is>
          <t>Workflow status</t>
        </is>
      </c>
      <c r="B6" s="43" t="inlineStr">
        <is>
          <t>WP-03 remains closed. WP-04 remains deferred only at its regression stage. The VIX, nominal Fed 3M Forward and nominal USD/BRL pre-freeze audits are complete. USD/BRL passed source/ticker -&gt; raw series -&gt; monthly convention -&gt; full-sample panel match -&gt; transformation/scaling -&gt; economic-label review. Current Data Freeze Gate work moves to GDP YoY and then the remaining baseline regressors. If RER is ultimately substituted for NER in the final core table, RER must be audited separately before panel freeze. After every baseline explanatory variable is audited or explicitly accepted unchanged, freeze panel_main_and_robustness.xlsx once, rerun the FE-Driscoll-Kraay core table, and only then run diagnostics/robustness including WP-04 Models 5-6.</t>
        </is>
      </c>
    </row>
    <row r="7" ht="38" customHeight="1" s="40">
      <c r="A7" s="1" t="inlineStr">
        <is>
          <t>Scope rule</t>
        </is>
      </c>
      <c r="B7" s="43" t="inlineStr">
        <is>
          <t>Every jury point must map to a change, diagnostic, defense answer or reasoned non-change. Not every suggested extension must be estimated.</t>
        </is>
      </c>
    </row>
    <row r="8" ht="44" customHeight="1" s="40">
      <c r="A8" s="1" t="inlineStr">
        <is>
          <t>v16 update</t>
        </is>
      </c>
      <c r="B8" s="43" t="inlineStr">
        <is>
          <t>2-Oct-2026: nominal Fed 3M Forward audit completed end-to-end. Bloomberg USSOC Curncy / PX_LAST (3M USD OIS) matched all 164 distinct panel months exactly (0 mismatches; max absolute difference 0.0). Baseline Stata uses the series directly in percentage points with no log, standardization or /100 scaling; only the separate macro-difference robustness creates D.fed_3m_forward. Thesis wording now keeps “Fed 3M Forward” as the intuitive label but defines the underlying 3M USD OIS precisely and states that it is forward-looking in economic content, not a forward-starting 3Mx3M rate. MR-09 is closed; any post-freeze raw/partial correlations and final VIX sign/H1 interpretation are tracked under MR-18/MR-19. Next pre-freeze audit: USD/BRL.</t>
        </is>
      </c>
    </row>
    <row r="9">
      <c r="A9" s="1" t="inlineStr">
        <is>
          <t>v17 update</t>
        </is>
      </c>
      <c r="B9" s="43" t="inlineStr">
        <is>
          <t>2-Oct-2026: nominal USD/BRL audit completed end-to-end. The macro workbook records USDBRL Curncy and BRL-per-USD semantics; the original Bloomberg formula/raw source layer is not retained and no second repo provenance trace was found. The thesis-window raw series contains 187 uninterrupted monthly observations from Jan-2010 to Jul-2025, with no zeros/blanks/duplicate months and every observation dated on the last weekday of the month. The econometric panel uses usd_brl with 0 blanks, one value per month, 0 missing source months and 0 mismatches across 4,229 rows / 164 panel months (Dec-2010 to Jun-2025). Baseline Stata uses the nominal spot level directly, with no log/rescaling/standardization; D.usd_brl is separate robustness only. Economic label frozen as nominal USD/BRL (BRL per USD); higher values mean BRL depreciation. Next pre-freeze audit: GDP YoY. RER remains a separate construction that must be audited before freeze if it enters the final core table.</t>
        </is>
      </c>
    </row>
    <row r="10" ht="22" customHeight="1" s="40">
      <c r="A10" s="39" t="inlineStr">
        <is>
          <t>Authoritative inputs</t>
        </is>
      </c>
    </row>
    <row r="11" ht="34" customHeight="1" s="40">
      <c r="A11" s="3" t="inlineStr">
        <is>
          <t>Source file / message</t>
        </is>
      </c>
      <c r="B11" s="3" t="inlineStr">
        <is>
          <t>Role</t>
        </is>
      </c>
      <c r="C11" s="3" t="inlineStr">
        <is>
          <t>Date/pages</t>
        </is>
      </c>
      <c r="D11" s="3" t="inlineStr">
        <is>
          <t>How used</t>
        </is>
      </c>
      <c r="E11" s="3" t="inlineStr">
        <is>
          <t>Current status</t>
        </is>
      </c>
    </row>
    <row r="12" ht="34" customHeight="1" s="40">
      <c r="A12" s="4" t="inlineStr">
        <is>
          <t>TFM_Maestria_Economia_Siqueira_Thiago_Abril_10_2026.pdf</t>
        </is>
      </c>
      <c r="B12" s="4" t="inlineStr">
        <is>
          <t>Submitted thesis baseline</t>
        </is>
      </c>
      <c r="C12" s="4" t="inlineStr">
        <is>
          <t>69 pages</t>
        </is>
      </c>
      <c r="D12" s="4" t="inlineStr">
        <is>
          <t>Locations, equations, tables, figures and annexes</t>
        </is>
      </c>
      <c r="E12" s="4" t="inlineStr">
        <is>
          <t>Frozen baseline</t>
        </is>
      </c>
    </row>
    <row r="13" ht="34" customHeight="1" s="40">
      <c r="A13" s="4" t="inlineStr">
        <is>
          <t>Ailin - Informe Preliminar TFM_Siqueira_Thiago (2).pdf</t>
        </is>
      </c>
      <c r="B13" s="4" t="inlineStr">
        <is>
          <t>Jury report + Martin annotations</t>
        </is>
      </c>
      <c r="C13" s="4" t="inlineStr">
        <is>
          <t>11 pages</t>
        </is>
      </c>
      <c r="D13" s="4" t="inlineStr">
        <is>
          <t>Criticisms A-01 to A-18 and annotated dispositions</t>
        </is>
      </c>
      <c r="E13" s="4" t="inlineStr">
        <is>
          <t>Integrated</t>
        </is>
      </c>
    </row>
    <row r="14" ht="34" customHeight="1" s="40">
      <c r="A14" s="4" t="inlineStr">
        <is>
          <t>Maximo Sangiacomo - Evaluacion_TFM_Siqueira_Thiago (2).pdf</t>
        </is>
      </c>
      <c r="B14" s="4" t="inlineStr">
        <is>
          <t>Jury report + Martin annotations</t>
        </is>
      </c>
      <c r="C14" s="4" t="inlineStr">
        <is>
          <t>5 pages</t>
        </is>
      </c>
      <c r="D14" s="4" t="inlineStr">
        <is>
          <t>Criticisms M-01 to M-18 and priority technical exercises</t>
        </is>
      </c>
      <c r="E14" s="4" t="inlineStr">
        <is>
          <t>Integrated - primary substantive priority</t>
        </is>
      </c>
    </row>
    <row r="15" ht="34" customHeight="1" s="40">
      <c r="A15" s="4" t="inlineStr">
        <is>
          <t>Devolucion DM - Daniel Milia.pdf</t>
        </is>
      </c>
      <c r="B15" s="4" t="inlineStr">
        <is>
          <t>Third jury report</t>
        </is>
      </c>
      <c r="C15" s="4" t="inlineStr">
        <is>
          <t>18-Sep-2026; 3 pages</t>
        </is>
      </c>
      <c r="D15" s="4" t="inlineStr">
        <is>
          <t>Criticisms D-01 to D-18 and defense guidance</t>
        </is>
      </c>
      <c r="E15" s="4" t="inlineStr">
        <is>
          <t>Integrated; director reviewed 24-Sep-2026</t>
        </is>
      </c>
    </row>
    <row r="16" ht="34" customHeight="1" s="40">
      <c r="A16" s="4" t="inlineStr">
        <is>
          <t>Martin Grandes - WhatsApp audio/text</t>
        </is>
      </c>
      <c r="B16" s="4" t="inlineStr">
        <is>
          <t>Director follow-up guidance</t>
        </is>
      </c>
      <c r="C16" s="4" t="inlineStr">
        <is>
          <t>Sep-2026; latest 27-Sep-2026</t>
        </is>
      </c>
      <c r="D16" s="4" t="inlineStr">
        <is>
          <t>SELIC, dynamics, sovereign ceiling, DK/PCSE, nominal FED3M, table design, robustness sequence, definitive Sovereign Risk (BRL) construction, common-reference two-spread specification and deadlines</t>
        </is>
      </c>
      <c r="E16" s="4" t="inlineStr">
        <is>
          <t>Integrated as MG-01 to MG-21</t>
        </is>
      </c>
    </row>
    <row r="17" ht="34" customHeight="1" s="40">
      <c r="A17" s="4" t="inlineStr">
        <is>
          <t>Proceso de presentacion y evaluacion del Trabajo Final - Res.CD 1313/2023</t>
        </is>
      </c>
      <c r="B17" s="4" t="inlineStr">
        <is>
          <t>Institutional process</t>
        </is>
      </c>
      <c r="C17" s="4" t="inlineStr">
        <is>
          <t>Sep-2023; 1 page</t>
        </is>
      </c>
      <c r="D17" s="4" t="inlineStr">
        <is>
          <t>Formal stages and generic time windows</t>
        </is>
      </c>
      <c r="E17" s="4" t="inlineStr">
        <is>
          <t>Exact project deadline still to enter</t>
        </is>
      </c>
    </row>
    <row r="18" ht="42" customHeight="1" s="40">
      <c r="A18" s="4" t="inlineStr">
        <is>
          <t>Tabla para nuevas estimaciones panel-Siqueira &amp; Grandes 25-9-2026.docx</t>
        </is>
      </c>
      <c r="B18" s="4" t="inlineStr">
        <is>
          <t>Director-provided estimation template</t>
        </is>
      </c>
      <c r="C18" s="4" t="inlineStr">
        <is>
          <t>25-Sep-2026; 1 page</t>
        </is>
      </c>
      <c r="D18" s="4" t="inlineStr">
        <is>
          <t>Exact four-column FE-Driscoll-Kraay variable-inclusion grid and requested output statistics</t>
        </is>
      </c>
      <c r="E18" s="4" t="inlineStr">
        <is>
          <t>Integrated; two layout ambiguities flagged for confirmation</t>
        </is>
      </c>
    </row>
    <row r="19" ht="22" customHeight="1" s="40">
      <c r="A19" s="39" t="inlineStr">
        <is>
          <t>Revision categories</t>
        </is>
      </c>
    </row>
    <row r="20" ht="34" customHeight="1" s="40">
      <c r="A20" s="3" t="inlineStr">
        <is>
          <t>Category</t>
        </is>
      </c>
      <c r="B20" s="3" t="inlineStr">
        <is>
          <t>Definition</t>
        </is>
      </c>
      <c r="C20" s="3" t="inlineStr">
        <is>
          <t>Default implication</t>
        </is>
      </c>
    </row>
    <row r="21" ht="34" customHeight="1" s="40">
      <c r="A21" s="4" t="inlineStr">
        <is>
          <t>A - Methodological issue / additional estimation</t>
        </is>
      </c>
      <c r="B21" s="4" t="inlineStr">
        <is>
          <t>Measurement, identification, data or inference concern.</t>
        </is>
      </c>
      <c r="C21" s="4" t="inlineStr">
        <is>
          <t>Change data/model and regenerate affected outputs.</t>
        </is>
      </c>
    </row>
    <row r="22" ht="34" customHeight="1" s="40">
      <c r="A22" s="4" t="inlineStr">
        <is>
          <t>B - Clarification / reframing</t>
        </is>
      </c>
      <c r="B22" s="4" t="inlineStr">
        <is>
          <t>Valid criticism mainly solved through precise definitions, interpretation or wording.</t>
        </is>
      </c>
      <c r="C22" s="4" t="inlineStr">
        <is>
          <t>Rewrite after final estimates; may include a small diagnostic.</t>
        </is>
      </c>
    </row>
    <row r="23" ht="34" customHeight="1" s="40">
      <c r="A23" s="4" t="inlineStr">
        <is>
          <t>C - Presentation / structure / literature / documentation</t>
        </is>
      </c>
      <c r="B23" s="4" t="inlineStr">
        <is>
          <t>Presentation, literature, reporting, provenance or reproducibility.</t>
        </is>
      </c>
      <c r="C23" s="4" t="inlineStr">
        <is>
          <t>Revise text/tables/appendix/package; not necessarily new estimation.</t>
        </is>
      </c>
    </row>
    <row r="24" ht="34" customHeight="1" s="40">
      <c r="A24" s="4" t="inlineStr">
        <is>
          <t>D - Not endorsed / optional / response only</t>
        </is>
      </c>
      <c r="B24" s="4" t="inlineStr">
        <is>
          <t>Request rejected, narrowed or treated as optional/future research.</t>
        </is>
      </c>
      <c r="C24" s="4" t="inlineStr">
        <is>
          <t>No mandatory thesis change; answer in memo/defense or add only if low cost.</t>
        </is>
      </c>
    </row>
    <row r="26" ht="22" customHeight="1" s="40">
      <c r="A26" s="39" t="inlineStr">
        <is>
          <t>Workbook map</t>
        </is>
      </c>
    </row>
    <row r="27" ht="28" customHeight="1" s="40">
      <c r="A27" s="1" t="inlineStr">
        <is>
          <t>Dashboard</t>
        </is>
      </c>
      <c r="B27" s="43" t="inlineStr">
        <is>
          <t>Formula-driven overview of priorities, counts, current package and process status.</t>
        </is>
      </c>
    </row>
    <row r="28" ht="28" customHeight="1" s="40">
      <c r="A28" s="1" t="inlineStr">
        <is>
          <t>Process &amp; Deadlines</t>
        </is>
      </c>
      <c r="B28" s="43" t="inlineStr">
        <is>
          <t>Institutional stages, generic windows and project-specific control fields.</t>
        </is>
      </c>
    </row>
    <row r="29" ht="28" customHeight="1" s="40">
      <c r="A29" s="1" t="inlineStr">
        <is>
          <t>Revision Tracker</t>
        </is>
      </c>
      <c r="B29" s="43" t="inlineStr">
        <is>
          <t>Sixteen dependency-based work packages. Update Status and Working notes.</t>
        </is>
      </c>
    </row>
    <row r="30" ht="28" customHeight="1" s="40">
      <c r="A30" s="1" t="inlineStr">
        <is>
          <t>Master Matrix</t>
        </is>
      </c>
      <c r="B30" s="43" t="inlineStr">
        <is>
          <t>Thirty-four consolidated revision issues across all jurors and director guidance.</t>
        </is>
      </c>
    </row>
    <row r="31" ht="28" customHeight="1" s="40">
      <c r="A31" s="1" t="inlineStr">
        <is>
          <t>Juror Log</t>
        </is>
      </c>
      <c r="B31" s="43" t="inlineStr">
        <is>
          <t>Every distinct juror criticism mapped to one or more master issues.</t>
        </is>
      </c>
    </row>
    <row r="32" ht="28" customHeight="1" s="40">
      <c r="A32" s="1" t="inlineStr">
        <is>
          <t>Director Guidance</t>
        </is>
      </c>
      <c r="B32" s="43" t="inlineStr">
        <is>
          <t>Traceability for Martin's audio/text decisions, including the 25-Sep-2026 estimation plan and definitive sovereign-risk definition.</t>
        </is>
      </c>
    </row>
    <row r="33" ht="28" customHeight="1" s="40">
      <c r="A33" s="1" t="inlineStr">
        <is>
          <t>Overlap Map</t>
        </is>
      </c>
      <c r="B33" s="43" t="inlineStr">
        <is>
          <t>Unified resolution of recurring issues to prevent duplicate work.</t>
        </is>
      </c>
    </row>
    <row r="34" ht="28" customHeight="1" s="40">
      <c r="A34" s="1" t="inlineStr">
        <is>
          <t>Action Sequence</t>
        </is>
      </c>
      <c r="B34" s="43" t="inlineStr">
        <is>
          <t>Dependency order that minimizes rework.</t>
        </is>
      </c>
    </row>
    <row r="35" ht="28" customHeight="1" s="40">
      <c r="A35" s="1" t="inlineStr">
        <is>
          <t>Estimation Plan</t>
        </is>
      </c>
      <c r="B35" s="43" t="inlineStr">
        <is>
          <t>Exact 25-Sep-2026 paper/seminar model grid, optional SELIC checks, ambiguities and delivery controls.</t>
        </is>
      </c>
    </row>
    <row r="36" ht="28" customHeight="1" s="40">
      <c r="A36" s="1" t="inlineStr">
        <is>
          <t>v4 Change Log</t>
        </is>
      </c>
      <c r="B36" s="43" t="inlineStr">
        <is>
          <t>Historical changes introduced on 24-Sep-2026.</t>
        </is>
      </c>
    </row>
    <row r="37" ht="28" customHeight="1" s="40">
      <c r="A37" s="1" t="inlineStr">
        <is>
          <t>v5 Change Log</t>
        </is>
      </c>
      <c r="B37" s="43" t="inlineStr">
        <is>
          <t>Exact changes introduced from Martin Grandes' 25-Sep-2026 instructions.</t>
        </is>
      </c>
    </row>
    <row r="38" ht="43.5" customHeight="1" s="40">
      <c r="A38" s="1" t="inlineStr">
        <is>
          <t>v6 Change Log</t>
        </is>
      </c>
      <c r="B38" s="43" t="inlineStr">
        <is>
          <t>Changes introduced from Martin Grandes' 25-Sep-2026 sovereign-risk clarification and workflow handoff from WP-01 to WP-02.</t>
        </is>
      </c>
    </row>
    <row r="39" ht="43.5" customHeight="1" s="40">
      <c r="A39" s="1" t="inlineStr">
        <is>
          <t>v7 Change Log</t>
        </is>
      </c>
      <c r="B39" s="43" t="inlineStr">
        <is>
          <t>Changes introduced from Martin Grandes' 27-Sep-2026 audio clarifying the preferred two-spread specification, USD CDS status and referee-only SELIC check.</t>
        </is>
      </c>
    </row>
    <row r="40" ht="43.5" customHeight="1" s="40">
      <c r="A40" s="1" t="inlineStr">
        <is>
          <t>v8 Change Log</t>
        </is>
      </c>
      <c r="B40" s="43" t="inlineStr">
        <is>
          <t>Changes introduced from the 29-Sep-2026 nominal sovereign-risk implementation audit, exact-node interpolation fix, and WP-02 status clarification.</t>
        </is>
      </c>
    </row>
    <row r="41" ht="29" customHeight="1" s="40">
      <c r="A41" s="1" t="inlineStr">
        <is>
          <t>v9 Change Log</t>
        </is>
      </c>
      <c r="B41" s="43" t="inlineStr">
        <is>
          <t>Changes introduced by WP-02 closure and workflow handoff to WP-03 on 29-Sep-2026.</t>
        </is>
      </c>
    </row>
    <row r="42" ht="43.5" customHeight="1" s="40">
      <c r="A42" s="1" t="inlineStr">
        <is>
          <t>v10 Change Log</t>
        </is>
      </c>
      <c r="B42" s="43" t="inlineStr">
        <is>
          <t>Changes introduced by WP-03 closure, thesis-side issue-size clarification, and workflow handoff to WP-04 on 30-Sep-2026.</t>
        </is>
      </c>
    </row>
    <row r="43" ht="43.5" customHeight="1" s="40">
      <c r="A43" s="1" t="inlineStr">
        <is>
          <t>v11 Change Log</t>
        </is>
      </c>
      <c r="B43" s="43" t="inlineStr">
        <is>
          <t>Changes introduced on 1-Oct-2026 after inserting the WP-04 SELIC baseline non-inclusion rationale into thesis Section 4.5.3.</t>
        </is>
      </c>
    </row>
    <row r="44" ht="43.5" customHeight="1" s="40">
      <c r="A44" s="1" t="inlineStr">
        <is>
          <t>v12 Change Log</t>
        </is>
      </c>
      <c r="B44" s="43" t="inlineStr">
        <is>
          <t>Changes introduced on 1-Oct-2026 after identifying, downloading and documenting the Brazil 3M DI referee-only robustness proxy for WP-04.</t>
        </is>
      </c>
    </row>
    <row r="45" ht="58" customHeight="1" s="40">
      <c r="A45" s="1" t="inlineStr">
        <is>
          <t>v13 Change Log</t>
        </is>
      </c>
      <c r="B45" s="43" t="inlineStr">
        <is>
          <t>Changes introduced on 1-Oct-2026 after adopting the Econometric Panel Data Freeze Gate, parking WP-04 regression work until post-freeze robustness, and activating WP-06 / MR-09 as the current VIX audit.</t>
        </is>
      </c>
    </row>
    <row r="46" ht="58" customHeight="1" s="40">
      <c r="A46" s="1" t="inlineStr">
        <is>
          <t>v14 Change Log</t>
        </is>
      </c>
      <c r="B46" s="43" t="inlineStr">
        <is>
          <t>Changes introduced on 2-Oct-2026 after completing the pre-freeze VIX data/proxy audit, revising thesis terminology/H1 framing, and handing the Data Freeze Gate to the remaining baseline-regressor audits.</t>
        </is>
      </c>
    </row>
    <row r="47">
      <c r="A47" s="1" t="inlineStr">
        <is>
          <t>v15 Change Log</t>
        </is>
      </c>
      <c r="B47" s="43" t="inlineStr">
        <is>
          <t>Changes introduced on 2-Oct-2026 after identifying and independently validating the Bloomberg source for nominal Fed 3M Forward and completing raw-series/month-end-convention checks.</t>
        </is>
      </c>
    </row>
    <row r="48">
      <c r="A48" s="1" t="inlineStr">
        <is>
          <t>v16 Change Log</t>
        </is>
      </c>
      <c r="B48" s="43" t="inlineStr">
        <is>
          <t>Changes introduced on 2-Oct-2026 after completing the six-step Fed 3M Forward audit, closing MR-09 as a proxy/data-definition issue, and handing the Data Freeze Gate to USD/BRL and the remaining baseline regressors.</t>
        </is>
      </c>
    </row>
    <row r="49">
      <c r="A49" s="1" t="inlineStr">
        <is>
          <t>v17 Change Log</t>
        </is>
      </c>
      <c r="B49" s="43" t="inlineStr">
        <is>
          <t>Changes introduced on 2-Oct-2026 after completing the six-step nominal USD/BRL audit and moving the Data Freeze Gate to GDP YoY while preserving the separate RER pre-freeze dependency.</t>
        </is>
      </c>
    </row>
  </sheetData>
  <mergeCells count="22">
    <mergeCell ref="B6:E6"/>
    <mergeCell ref="B30:E30"/>
    <mergeCell ref="B33:E33"/>
    <mergeCell ref="A1:E1"/>
    <mergeCell ref="B5:E5"/>
    <mergeCell ref="B36:E36"/>
    <mergeCell ref="B32:E32"/>
    <mergeCell ref="B35:E35"/>
    <mergeCell ref="B7:E7"/>
    <mergeCell ref="B47:E47"/>
    <mergeCell ref="B31:E31"/>
    <mergeCell ref="B27:E27"/>
    <mergeCell ref="A26:E26"/>
    <mergeCell ref="A2:E2"/>
    <mergeCell ref="A4:E4"/>
    <mergeCell ref="B8:E8"/>
    <mergeCell ref="A10:E10"/>
    <mergeCell ref="A19:E19"/>
    <mergeCell ref="B29:E29"/>
    <mergeCell ref="B37:E37"/>
    <mergeCell ref="B28:E28"/>
    <mergeCell ref="B34:E34"/>
  </mergeCells>
  <pageMargins left="0.7" right="0.7" top="0.75" bottom="0.75" header="0.3" footer="0.3"/>
</worksheet>
</file>

<file path=xl/worksheets/sheet2.xml><?xml version="1.0" encoding="utf-8"?>
<worksheet xmlns="http://schemas.openxmlformats.org/spreadsheetml/2006/main">
  <sheetPr>
    <tabColor rgb="FF0F6B78"/>
    <outlinePr summaryBelow="1" summaryRight="1"/>
    <pageSetUpPr/>
  </sheetPr>
  <dimension ref="A1:G40"/>
  <sheetViews>
    <sheetView showGridLines="0" workbookViewId="0">
      <selection activeCell="A1" sqref="A1"/>
    </sheetView>
  </sheetViews>
  <sheetFormatPr baseColWidth="8" defaultRowHeight="14.5"/>
  <cols>
    <col width="27" customWidth="1" style="40" min="1" max="1"/>
    <col width="18" customWidth="1" style="40" min="2" max="2"/>
    <col width="34" customWidth="1" style="40" min="3" max="3"/>
    <col width="4" customWidth="1" style="40" min="4" max="4"/>
    <col width="31" customWidth="1" style="40" min="5" max="5"/>
    <col width="18" customWidth="1" style="40" min="6" max="6"/>
    <col width="36" customWidth="1" style="40" min="7" max="7"/>
  </cols>
  <sheetData>
    <row r="1" ht="26" customHeight="1" s="40">
      <c r="A1" s="45" t="inlineStr">
        <is>
          <t>Revision Dashboard</t>
        </is>
      </c>
    </row>
    <row r="2" ht="42" customHeight="1" s="40">
      <c r="A2" s="48" t="inlineStr">
        <is>
          <t>Formula-driven from the Master Matrix, Revision Tracker and Process &amp; Deadlines. Updated through 2-Oct-2026: the VIX, nominal Fed 3M Forward and nominal USD/BRL pre-freeze audits are complete. USD/BRL passed all six stages: USDBRL Curncy recorded in the macro workbook; 187 uninterrupted thesis-window monthly observations; last-weekday month-end convention; exact panel mapping across 4,229 rows / 164 panel months with zero mismatches; no baseline rescaling or transformation; and BRL-per-USD economic labeling. The original Bloomberg formula is not retained in the values-only workbook and that provenance limitation is documented. Current Data Freeze Gate task is GDP YoY, followed by the remaining baseline regressors. If RER enters the final core specification, it requires its own pre-freeze audit. WP-04 regression-dependent steps and all final baseline/robustness estimation remain deferred until the final panel is frozen.</t>
        </is>
      </c>
    </row>
    <row r="4" ht="22" customHeight="1" s="40">
      <c r="A4" s="39" t="inlineStr">
        <is>
          <t>Issue portfolio</t>
        </is>
      </c>
    </row>
    <row r="5" ht="34" customHeight="1" s="40">
      <c r="A5" s="3" t="inlineStr">
        <is>
          <t>Metric</t>
        </is>
      </c>
      <c r="B5" s="3" t="inlineStr">
        <is>
          <t>Count</t>
        </is>
      </c>
      <c r="C5" s="3" t="inlineStr">
        <is>
          <t>Meaning</t>
        </is>
      </c>
      <c r="D5" s="3" t="n"/>
      <c r="E5" s="3" t="inlineStr">
        <is>
          <t>Martin position</t>
        </is>
      </c>
      <c r="F5" s="3" t="inlineStr">
        <is>
          <t>Count</t>
        </is>
      </c>
      <c r="G5" s="3" t="inlineStr">
        <is>
          <t>Meaning</t>
        </is>
      </c>
    </row>
    <row r="6" ht="28" customHeight="1" s="40">
      <c r="A6" s="4" t="inlineStr">
        <is>
          <t>Total master issues</t>
        </is>
      </c>
      <c r="B6" s="5">
        <f>COUNTA('Master Matrix'!A4:A200)</f>
        <v/>
      </c>
      <c r="C6" s="4" t="inlineStr">
        <is>
          <t>Distinct consolidated issues.</t>
        </is>
      </c>
      <c r="D6" s="4" t="n"/>
      <c r="E6" s="4" t="inlineStr">
        <is>
          <t>Agrees / strongly agrees</t>
        </is>
      </c>
      <c r="F6" s="5">
        <f>COUNTIF('Master Matrix'!H4:H200,E6)</f>
        <v/>
      </c>
      <c r="G6" s="4" t="inlineStr">
        <is>
          <t>Explicitly endorsed.</t>
        </is>
      </c>
    </row>
    <row r="7" ht="28" customHeight="1" s="40">
      <c r="A7" s="4" t="inlineStr">
        <is>
          <t>Critical priority</t>
        </is>
      </c>
      <c r="B7" s="5">
        <f>COUNTIF('Master Matrix'!D4:D200,"Critical")</f>
        <v/>
      </c>
      <c r="C7" s="4" t="inlineStr">
        <is>
          <t>Can affect acceptance or downstream results.</t>
        </is>
      </c>
      <c r="D7" s="4" t="n"/>
      <c r="E7" s="4" t="inlineStr">
        <is>
          <t>Partially agrees</t>
        </is>
      </c>
      <c r="F7" s="5">
        <f>COUNTIF('Master Matrix'!H4:H200,E7)</f>
        <v/>
      </c>
      <c r="G7" s="4" t="inlineStr">
        <is>
          <t>Accepted with scope limits.</t>
        </is>
      </c>
    </row>
    <row r="8" ht="28" customHeight="1" s="40">
      <c r="A8" s="4" t="inlineStr">
        <is>
          <t>Category A</t>
        </is>
      </c>
      <c r="B8" s="5">
        <f>COUNTIF('Master Matrix'!K4:K200,"A*")</f>
        <v/>
      </c>
      <c r="C8" s="4" t="inlineStr">
        <is>
          <t>Measurement/diagnostics/estimation.</t>
        </is>
      </c>
      <c r="D8" s="4" t="n"/>
      <c r="E8" s="4" t="inlineStr">
        <is>
          <t>Disagrees / not endorsed</t>
        </is>
      </c>
      <c r="F8" s="5">
        <f>COUNTIF('Master Matrix'!H4:H200,E8)</f>
        <v/>
      </c>
      <c r="G8" s="4" t="inlineStr">
        <is>
          <t>Response only or future research.</t>
        </is>
      </c>
    </row>
    <row r="9" ht="28" customHeight="1" s="40">
      <c r="A9" s="4" t="inlineStr">
        <is>
          <t>Category B</t>
        </is>
      </c>
      <c r="B9" s="5">
        <f>COUNTIF('Master Matrix'!K4:K200,"B*")</f>
        <v/>
      </c>
      <c r="C9" s="4" t="inlineStr">
        <is>
          <t>Clarification/reframing.</t>
        </is>
      </c>
      <c r="D9" s="4" t="n"/>
      <c r="E9" s="4" t="inlineStr">
        <is>
          <t>No explicit position</t>
        </is>
      </c>
      <c r="F9" s="5">
        <f>COUNTIF('Master Matrix'!H4:H200,E9)</f>
        <v/>
      </c>
      <c r="G9" s="4" t="inlineStr">
        <is>
          <t>No direct disposition.</t>
        </is>
      </c>
    </row>
    <row r="10" ht="28" customHeight="1" s="40">
      <c r="A10" s="4" t="inlineStr">
        <is>
          <t>Category C</t>
        </is>
      </c>
      <c r="B10" s="5">
        <f>COUNTIF('Master Matrix'!K4:K200,"C*")</f>
        <v/>
      </c>
      <c r="C10" s="4" t="inlineStr">
        <is>
          <t>Presentation/literature/documentation.</t>
        </is>
      </c>
      <c r="D10" s="4" t="n"/>
      <c r="E10" s="4" t="n"/>
      <c r="F10" s="5" t="n"/>
      <c r="G10" s="4" t="n"/>
    </row>
    <row r="11" ht="28" customHeight="1" s="40">
      <c r="A11" s="4" t="inlineStr">
        <is>
          <t>Category D</t>
        </is>
      </c>
      <c r="B11" s="5">
        <f>COUNTIF('Master Matrix'!K4:K200,"D*")</f>
        <v/>
      </c>
      <c r="C11" s="4" t="inlineStr">
        <is>
          <t>Optional or non-endorsed.</t>
        </is>
      </c>
      <c r="D11" s="4" t="n"/>
      <c r="E11" s="4" t="n"/>
      <c r="F11" s="5" t="n"/>
      <c r="G11" s="4" t="n"/>
    </row>
    <row r="12" ht="28" customHeight="1" s="40">
      <c r="A12" s="4" t="inlineStr">
        <is>
          <t>Changes required</t>
        </is>
      </c>
      <c r="B12" s="5">
        <f>COUNTIF('Master Matrix'!Q4:Q200,"Yes*")</f>
        <v/>
      </c>
      <c r="C12" s="4" t="inlineStr">
        <is>
          <t>Mandatory/minimum-scope changes.</t>
        </is>
      </c>
      <c r="D12" s="4" t="n"/>
      <c r="E12" s="4" t="n"/>
      <c r="F12" s="5" t="n"/>
      <c r="G12" s="4" t="n"/>
    </row>
    <row r="13" ht="28" customHeight="1" s="40">
      <c r="A13" s="4" t="inlineStr">
        <is>
          <t>Done</t>
        </is>
      </c>
      <c r="B13" s="5">
        <f>COUNTIF('Master Matrix'!R4:R200,"Done")</f>
        <v/>
      </c>
      <c r="C13" s="4" t="inlineStr">
        <is>
          <t>Completed master issues.</t>
        </is>
      </c>
      <c r="D13" s="4" t="n"/>
      <c r="E13" s="4" t="n"/>
      <c r="F13" s="5" t="n"/>
      <c r="G13" s="4" t="n"/>
    </row>
    <row r="15" ht="22" customHeight="1" s="40">
      <c r="A15" s="39" t="inlineStr">
        <is>
          <t>Critical workstreams - recommended order</t>
        </is>
      </c>
    </row>
    <row r="16" ht="34" customHeight="1" s="40">
      <c r="A16" s="3" t="inlineStr">
        <is>
          <t>Order</t>
        </is>
      </c>
      <c r="B16" s="3" t="inlineStr">
        <is>
          <t>Workstream</t>
        </is>
      </c>
      <c r="C16" s="3" t="inlineStr">
        <is>
          <t>Master issues</t>
        </is>
      </c>
      <c r="D16" s="46" t="inlineStr">
        <is>
          <t>Why</t>
        </is>
      </c>
      <c r="E16" s="55" t="n"/>
      <c r="F16" s="55" t="n"/>
      <c r="G16" s="55" t="n"/>
    </row>
    <row r="17" ht="31" customHeight="1" s="40">
      <c r="A17" s="4" t="n">
        <v>1</v>
      </c>
      <c r="B17" s="4" t="inlineStr">
        <is>
          <t>Correct spread construction - measurement audit closed</t>
        </is>
      </c>
      <c r="C17" s="4" t="inlineStr">
        <is>
          <t>MR-03</t>
        </is>
      </c>
      <c r="D17" s="41" t="inlineStr">
        <is>
          <t>Dependent-variable measurement audit completed; downstream regressions remain to be regenerated.</t>
        </is>
      </c>
      <c r="E17" s="56" t="n"/>
      <c r="F17" s="56" t="n"/>
      <c r="G17" s="56" t="n"/>
    </row>
    <row r="18" ht="31" customHeight="1" s="40">
      <c r="A18" s="4" t="n">
        <v>2</v>
      </c>
      <c r="B18" s="4" t="inlineStr">
        <is>
          <t>Sovereign Risk (BRL) construction and terminology - closed</t>
        </is>
      </c>
      <c r="C18" s="4" t="inlineStr">
        <is>
          <t>MR-01 / MR-02</t>
        </is>
      </c>
      <c r="D18" s="41" t="inlineStr">
        <is>
          <t>Closed 29-Sep: 582/582 LTN+NTN-F sovereign observations validated against same-date exact-tenor DI; geometric spreads and exact-node handling verified; pytest 5/5; commit b551414 pushed. Thesis now uses sovereign_spread_brl, removes CDS language, and distinguishes the nominal sovereign DI benchmark from the IPCA-real corporate benchmark.</t>
        </is>
      </c>
      <c r="E18" s="56" t="n"/>
      <c r="F18" s="56" t="n"/>
      <c r="G18" s="56" t="n"/>
    </row>
    <row r="19" ht="31" customHeight="1" s="40">
      <c r="A19" s="4" t="n">
        <v>3</v>
      </c>
      <c r="B19" s="4" t="inlineStr">
        <is>
          <t>Issue-size identification - closed (WP-03)</t>
        </is>
      </c>
      <c r="C19" s="4" t="inlineStr">
        <is>
          <t>MR-14</t>
        </is>
      </c>
      <c r="D19" s="41" t="inlineStr">
        <is>
          <t>Closed 30-Sep: amount_issued_to_bs_tot_asset reconstructed for 4,229/4,229 observations; 98/103 bonds (95.15%) vary within bond; variable retained in bond FE; ‰ units and relative-size interpretation documented; one-quarter-lagged denominator reserved as robustness.</t>
        </is>
      </c>
      <c r="E19" s="56" t="n"/>
      <c r="F19" s="56" t="n"/>
      <c r="G19" s="56" t="n"/>
    </row>
    <row r="20" ht="62" customHeight="1" s="40">
      <c r="A20" s="4" t="n">
        <v>4</v>
      </c>
      <c r="B20" s="4" t="inlineStr">
        <is>
          <t>Baseline explanatory-variable audits / Data Freeze Gate - CURRENT</t>
        </is>
      </c>
      <c r="C20" s="4" t="inlineStr">
        <is>
          <t>MR-09 closed pre-freeze; remaining baseline regressors</t>
        </is>
      </c>
      <c r="D20" s="41" t="inlineStr">
        <is>
          <t>VIX, Fed 3M Forward and nominal USD/BRL pre-freeze audits passed. USD/BRL: source label/ticker = USDBRL Curncy; 187 uninterrupted monthly source observations from Jan-2010 to Jul-2025; all dates follow last-weekday month-end convention; 4,229 panel rows / 164 distinct panel months map exactly with 0 blanks, 0 conflicting within-month values, 0 missing source months and 0 mismatches; baseline usd_brl enters directly in BRL per USD levels with no log/rescaling/standardization; D.usd_brl is robustness only; higher USD/BRL denotes BRL depreciation. CURRENT: audit GDP YoY using the same six-step sequence, then continue through the remaining baseline regressors. RER is not validated by the NER audit and must be audited separately before freeze if selected for the final core table. Do not rerun final baseline/robustness regressions before the freeze gate passes.</t>
        </is>
      </c>
      <c r="E20" s="56" t="n"/>
      <c r="F20" s="56" t="n"/>
      <c r="G20" s="56" t="n"/>
    </row>
    <row r="21" ht="31" customHeight="1" s="40">
      <c r="A21" s="4" t="n">
        <v>5</v>
      </c>
      <c r="B21" s="4" t="inlineStr">
        <is>
          <t>Single DK results table and inference reset - AFTER DATA FREEZE</t>
        </is>
      </c>
      <c r="C21" s="4" t="inlineStr">
        <is>
          <t>MR-16 / MR-17 / MR-18 / MR-24</t>
        </is>
      </c>
      <c r="D21" s="41" t="inlineStr">
        <is>
          <t>Only after the final panel is frozen: rerun the four-model FE-Driscoll-Kraay baseline table using the finalized regressor definitions, then diagnostics and targeted robustness checks including the referee-only Brazil 3M DI exercise.</t>
        </is>
      </c>
      <c r="E21" s="56" t="n"/>
      <c r="F21" s="56" t="n"/>
      <c r="G21" s="56" t="n"/>
    </row>
    <row r="22" ht="31" customHeight="1" s="40">
      <c r="A22" s="4" t="n">
        <v>6</v>
      </c>
      <c r="B22" s="4" t="inlineStr">
        <is>
          <t>Ratings/sector heterogeneity</t>
        </is>
      </c>
      <c r="C22" s="4" t="inlineStr">
        <is>
          <t>MR-06 / MR-07</t>
        </is>
      </c>
      <c r="D22" s="41" t="inlineStr">
        <is>
          <t>Convert ex-post explanations into bounded tests.</t>
        </is>
      </c>
      <c r="E22" s="56" t="n"/>
      <c r="F22" s="56" t="n"/>
      <c r="G22" s="56" t="n"/>
    </row>
    <row r="23" ht="31" customHeight="1" s="40">
      <c r="A23" s="4" t="n">
        <v>7</v>
      </c>
      <c r="B23" s="4" t="inlineStr">
        <is>
          <t>Hypothesis-result/sign rewrite</t>
        </is>
      </c>
      <c r="C23" s="4" t="inlineStr">
        <is>
          <t>MR-19 / MR-30 / MR-31 / MR-32</t>
        </is>
      </c>
      <c r="D23" s="41" t="inlineStr">
        <is>
          <t>Daniel's valid contribution is primarily expositional and follows empirical freeze.</t>
        </is>
      </c>
      <c r="E23" s="56" t="n"/>
      <c r="F23" s="56" t="n"/>
      <c r="G23" s="56" t="n"/>
    </row>
    <row r="24" ht="31" customHeight="1" s="40">
      <c r="A24" s="4" t="n">
        <v>8</v>
      </c>
      <c r="B24" s="4" t="inlineStr">
        <is>
          <t>Replication and resubmission</t>
        </is>
      </c>
      <c r="C24" s="4" t="inlineStr">
        <is>
          <t>MR-27</t>
        </is>
      </c>
      <c r="D24" s="41" t="inlineStr">
        <is>
          <t>Required alongside the revised thesis.</t>
        </is>
      </c>
      <c r="E24" s="42" t="n"/>
      <c r="F24" s="42" t="n"/>
      <c r="G24" s="42" t="n"/>
    </row>
    <row r="25" ht="22" customHeight="1" s="40">
      <c r="A25" s="39" t="inlineStr">
        <is>
          <t>Live revision status</t>
        </is>
      </c>
    </row>
    <row r="26" ht="30" customHeight="1" s="40">
      <c r="A26" s="1" t="inlineStr">
        <is>
          <t>Current package</t>
        </is>
      </c>
      <c r="B26" s="44">
        <f>IFERROR(INDEX('Revision Tracker'!B12:B100,MATCH("In progress",'Revision Tracker'!J12:J100,0)),"")</f>
        <v/>
      </c>
    </row>
    <row r="27" ht="30" customHeight="1" s="40">
      <c r="A27" s="1" t="inlineStr">
        <is>
          <t>Current task</t>
        </is>
      </c>
      <c r="B27" s="44">
        <f>IFERROR(INDEX('Revision Tracker'!E12:E100,MATCH("In progress",'Revision Tracker'!J12:J100,0)),"")</f>
        <v/>
      </c>
    </row>
    <row r="28" ht="30" customHeight="1" s="40">
      <c r="A28" s="1" t="inlineStr">
        <is>
          <t>Completed packages</t>
        </is>
      </c>
      <c r="B28" s="44">
        <f>COUNTIF('Revision Tracker'!J12:J100,"Done")</f>
        <v/>
      </c>
      <c r="C28" s="43" t="inlineStr">
        <is>
          <t>of 16</t>
        </is>
      </c>
    </row>
    <row r="29" ht="30" customHeight="1" s="40">
      <c r="A29" s="1" t="inlineStr">
        <is>
          <t>Overall progress</t>
        </is>
      </c>
      <c r="B29" s="7">
        <f>B28/16</f>
        <v/>
      </c>
      <c r="C29" s="43" t="n"/>
    </row>
    <row r="30" ht="30" customHeight="1" s="40">
      <c r="A30" s="1" t="inlineStr">
        <is>
          <t>Current gate</t>
        </is>
      </c>
      <c r="B30" s="44">
        <f>IFERROR(INDEX('Revision Tracker'!K12:K100,MATCH("In progress",'Revision Tracker'!J12:J100,0)),"")</f>
        <v/>
      </c>
    </row>
    <row r="32" ht="22" customHeight="1" s="40">
      <c r="A32" s="39" t="inlineStr">
        <is>
          <t>Institutional process status</t>
        </is>
      </c>
    </row>
    <row r="33" ht="28" customHeight="1" s="40">
      <c r="A33" s="1" t="inlineStr">
        <is>
          <t>Third report</t>
        </is>
      </c>
      <c r="B33" s="43">
        <f>'Process &amp; Deadlines'!B5</f>
        <v/>
      </c>
    </row>
    <row r="34" ht="28" customHeight="1" s="40">
      <c r="A34" s="1" t="inlineStr">
        <is>
          <t>Daniel resolution</t>
        </is>
      </c>
      <c r="B34" s="43">
        <f>'Process &amp; Deadlines'!B6</f>
        <v/>
      </c>
    </row>
    <row r="35" ht="28" customHeight="1" s="40">
      <c r="A35" s="1" t="inlineStr">
        <is>
          <t>Director review</t>
        </is>
      </c>
      <c r="B35" s="43">
        <f>'Process &amp; Deadlines'!B7</f>
        <v/>
      </c>
    </row>
    <row r="36" ht="28" customHeight="1" s="40">
      <c r="A36" s="1" t="inlineStr">
        <is>
          <t>Current branch</t>
        </is>
      </c>
      <c r="B36" s="43">
        <f>'Process &amp; Deadlines'!B8</f>
        <v/>
      </c>
    </row>
    <row r="37" ht="28" customHeight="1" s="40">
      <c r="A37" s="1" t="inlineStr">
        <is>
          <t>Official due date</t>
        </is>
      </c>
      <c r="B37" s="43">
        <f>'Process &amp; Deadlines'!B9</f>
        <v/>
      </c>
    </row>
    <row r="38" ht="28" customHeight="1" s="40">
      <c r="A38" s="1" t="inlineStr">
        <is>
          <t>Days remaining</t>
        </is>
      </c>
      <c r="B38" s="43">
        <f>'Process &amp; Deadlines'!B10</f>
        <v/>
      </c>
    </row>
    <row r="39" ht="28" customHeight="1" s="40">
      <c r="A39" s="1" t="inlineStr">
        <is>
          <t>Next formal step</t>
        </is>
      </c>
      <c r="B39" s="43">
        <f>'Process &amp; Deadlines'!B11</f>
        <v/>
      </c>
    </row>
    <row r="40" ht="31" customHeight="1" s="40">
      <c r="A40" s="1" t="inlineStr">
        <is>
          <t>Seminar table target</t>
        </is>
      </c>
      <c r="B40" s="43">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cfvo type="num" val="0"/>
        <cfvo type="num" val="1"/>
        <color rgb="FF0F6B78"/>
      </dataBar>
    </cfRule>
  </conditionalFormatting>
  <pageMargins left="0.7" right="0.7" top="0.75" bottom="0.75" header="0.3" footer="0.3"/>
</worksheet>
</file>

<file path=xl/worksheets/sheet3.xml><?xml version="1.0" encoding="utf-8"?>
<worksheet xmlns="http://schemas.openxmlformats.org/spreadsheetml/2006/main">
  <sheetPr>
    <tabColor rgb="FFF4B183"/>
    <outlinePr summaryBelow="1" summaryRight="1"/>
    <pageSetUpPr/>
  </sheetPr>
  <dimension ref="A1:H24"/>
  <sheetViews>
    <sheetView showGridLines="0" workbookViewId="0">
      <selection activeCell="A1" sqref="A1"/>
    </sheetView>
  </sheetViews>
  <sheetFormatPr baseColWidth="8" defaultRowHeight="14.5"/>
  <cols>
    <col width="10" customWidth="1" style="40" min="1" max="1"/>
    <col width="29" customWidth="1" style="40" min="2" max="2"/>
    <col width="31" customWidth="1" style="40" min="3" max="3"/>
    <col width="22" customWidth="1" style="40" min="4" max="4"/>
    <col width="27" customWidth="1" style="40" min="5" max="5"/>
    <col width="24" customWidth="1" style="40" min="6" max="6"/>
    <col width="19" customWidth="1" style="40" min="7" max="7"/>
    <col width="46" customWidth="1" style="40" min="8" max="8"/>
  </cols>
  <sheetData>
    <row r="1" ht="26" customHeight="1" s="40">
      <c r="A1" s="45" t="inlineStr">
        <is>
          <t>Institutional Process &amp; Deadlines</t>
        </is>
      </c>
    </row>
    <row r="2" ht="34" customHeight="1" s="40">
      <c r="A2" s="48" t="inlineStr">
        <is>
          <t>Official generic time windows plus project-specific controls. Enter the exact official resubmission deadline when confirmed.</t>
        </is>
      </c>
    </row>
    <row r="4" ht="22" customHeight="1" s="40">
      <c r="A4" s="39" t="inlineStr">
        <is>
          <t>Current project control</t>
        </is>
      </c>
    </row>
    <row r="5" ht="30" customHeight="1" s="40">
      <c r="A5" s="1" t="inlineStr">
        <is>
          <t>Third jury report received</t>
        </is>
      </c>
      <c r="B5" s="43" t="inlineStr">
        <is>
          <t>Yes - Daniel Milia report dated 18-Sep-2026</t>
        </is>
      </c>
    </row>
    <row r="6" ht="30" customHeight="1" s="40">
      <c r="A6" s="1" t="inlineStr">
        <is>
          <t>Daniel formal resolution</t>
        </is>
      </c>
      <c r="B6" s="43" t="inlineStr">
        <is>
          <t>Pasa a Defensa (favorable)</t>
        </is>
      </c>
    </row>
    <row r="7" ht="30" customHeight="1" s="40">
      <c r="A7" s="1" t="inlineStr">
        <is>
          <t>Director review of Daniel</t>
        </is>
      </c>
      <c r="B7" s="43" t="inlineStr">
        <is>
          <t>Completed 24-Sep-2026 - less substantive; selective exposition/diagnostics/bibliography changes</t>
        </is>
      </c>
    </row>
    <row r="8" ht="30" customHeight="1" s="40">
      <c r="A8" s="1" t="inlineStr">
        <is>
          <t>Current formal branch</t>
        </is>
      </c>
      <c r="B8" s="43" t="inlineStr">
        <is>
          <t>Awaiting official confirmation</t>
        </is>
      </c>
    </row>
    <row r="9" ht="30" customHeight="1" s="40">
      <c r="A9" s="1" t="inlineStr">
        <is>
          <t>Official resubmission deadline</t>
        </is>
      </c>
      <c r="B9" s="49" t="n"/>
    </row>
    <row r="10" ht="30" customHeight="1" s="40">
      <c r="A10" s="1" t="inlineStr">
        <is>
          <t>Days remaining</t>
        </is>
      </c>
      <c r="B10" s="43">
        <f>IF(B9="","",B9-TODAY())</f>
        <v/>
      </c>
    </row>
    <row r="11" ht="30" customHeight="1" s="40">
      <c r="A11" s="1" t="inlineStr">
        <is>
          <t>Next formal step</t>
        </is>
      </c>
      <c r="B11" s="43" t="inlineStr">
        <is>
          <t>Confirm Ailin and Maximo formal resolutions, exact due date and whether a revised filing is formally required.</t>
        </is>
      </c>
    </row>
    <row r="12" ht="30" customHeight="1" s="40">
      <c r="A12" s="1" t="inlineStr">
        <is>
          <t>Control note</t>
        </is>
      </c>
      <c r="B12" s="43" t="inlineStr">
        <is>
          <t>The user reports that a deadline exists, but the exact date is not in the process sheet.</t>
        </is>
      </c>
    </row>
    <row r="13" ht="34" customHeight="1" s="40">
      <c r="A13" s="1" t="inlineStr">
        <is>
          <t>Paper/seminar table target</t>
        </is>
      </c>
      <c r="B13" s="43" t="inlineStr">
        <is>
          <t>30-Sep-2026 - one consolidated FE-Driscoll-Kraay table for Martin (core four models; SELIC 3M Forward only as optional referee diagnostic)</t>
        </is>
      </c>
    </row>
    <row r="14" ht="22" customHeight="1" s="40">
      <c r="A14" s="39" t="inlineStr">
        <is>
          <t>Official process and generic time windows</t>
        </is>
      </c>
    </row>
    <row r="15" ht="34" customHeight="1" s="40">
      <c r="A15" s="3" t="inlineStr">
        <is>
          <t>Step</t>
        </is>
      </c>
      <c r="B15" s="3" t="inlineStr">
        <is>
          <t>Process stage</t>
        </is>
      </c>
      <c r="C15" s="3" t="inlineStr">
        <is>
          <t>Trigger</t>
        </is>
      </c>
      <c r="D15" s="3" t="inlineStr">
        <is>
          <t>Official time limit</t>
        </is>
      </c>
      <c r="E15" s="3" t="inlineStr">
        <is>
          <t>Current relevance</t>
        </is>
      </c>
      <c r="F15" s="3" t="inlineStr">
        <is>
          <t>Owner</t>
        </is>
      </c>
      <c r="G15" s="3" t="inlineStr">
        <is>
          <t>Status</t>
        </is>
      </c>
      <c r="H15" s="3" t="inlineStr">
        <is>
          <t>Evidence / next action</t>
        </is>
      </c>
    </row>
    <row r="16" ht="44" customHeight="1" s="40">
      <c r="A16" s="4" t="n">
        <v>1</v>
      </c>
      <c r="B16" s="4" t="inlineStr">
        <is>
          <t>PTFM evaluation</t>
        </is>
      </c>
      <c r="C16" s="4" t="inlineStr">
        <is>
          <t>Formal receipt of project proposal</t>
        </is>
      </c>
      <c r="D16" s="4" t="inlineStr">
        <is>
          <t>30 days</t>
        </is>
      </c>
      <c r="E16" s="4" t="inlineStr">
        <is>
          <t>Historical - not current</t>
        </is>
      </c>
      <c r="F16" s="4" t="inlineStr">
        <is>
          <t>Academic authority</t>
        </is>
      </c>
      <c r="G16" s="4" t="inlineStr">
        <is>
          <t>Not current</t>
        </is>
      </c>
      <c r="H16" s="4" t="inlineStr">
        <is>
          <t>Included for completeness.</t>
        </is>
      </c>
    </row>
    <row r="17" ht="44" customHeight="1" s="40">
      <c r="A17" s="4" t="n">
        <v>2</v>
      </c>
      <c r="B17" s="4" t="inlineStr">
        <is>
          <t>PTFM correction, if required</t>
        </is>
      </c>
      <c r="C17" s="4" t="inlineStr">
        <is>
          <t>Authority requests project corrections</t>
        </is>
      </c>
      <c r="D17" s="4" t="inlineStr">
        <is>
          <t>1 to 3 months</t>
        </is>
      </c>
      <c r="E17" s="4" t="inlineStr">
        <is>
          <t>Historical - not current</t>
        </is>
      </c>
      <c r="F17" s="4" t="inlineStr">
        <is>
          <t>Student + director</t>
        </is>
      </c>
      <c r="G17" s="4" t="inlineStr">
        <is>
          <t>Not current</t>
        </is>
      </c>
      <c r="H17" s="4" t="inlineStr">
        <is>
          <t>Not the current thesis-evaluation branch.</t>
        </is>
      </c>
    </row>
    <row r="18" ht="44" customHeight="1" s="40">
      <c r="A18" s="4" t="n">
        <v>3</v>
      </c>
      <c r="B18" s="4" t="inlineStr">
        <is>
          <t>TFM review / jury convocation</t>
        </is>
      </c>
      <c r="C18" s="4" t="inlineStr">
        <is>
          <t>Formal receipt of TFM</t>
        </is>
      </c>
      <c r="D18" s="4" t="inlineStr">
        <is>
          <t>45 days</t>
        </is>
      </c>
      <c r="E18" s="4" t="inlineStr">
        <is>
          <t>Completed</t>
        </is>
      </c>
      <c r="F18" s="4" t="inlineStr">
        <is>
          <t>Academic authority</t>
        </is>
      </c>
      <c r="G18" s="4" t="inlineStr">
        <is>
          <t>Completed</t>
        </is>
      </c>
      <c r="H18" s="4" t="inlineStr">
        <is>
          <t>The thesis was sent to three jurors.</t>
        </is>
      </c>
    </row>
    <row r="19" ht="44" customHeight="1" s="40">
      <c r="A19" s="4" t="n">
        <v>4</v>
      </c>
      <c r="B19" s="4" t="inlineStr">
        <is>
          <t>Preliminary individual reports</t>
        </is>
      </c>
      <c r="C19" s="4" t="inlineStr">
        <is>
          <t>Jurors receive the TFM</t>
        </is>
      </c>
      <c r="D19" s="4" t="inlineStr">
        <is>
          <t>45 days</t>
        </is>
      </c>
      <c r="E19" s="4" t="inlineStr">
        <is>
          <t>Completed - all three reports received</t>
        </is>
      </c>
      <c r="F19" s="4" t="inlineStr">
        <is>
          <t>Each juror</t>
        </is>
      </c>
      <c r="G19" s="4" t="inlineStr">
        <is>
          <t>Completed</t>
        </is>
      </c>
      <c r="H19" s="4" t="inlineStr">
        <is>
          <t>Daniel is the third report; dated 18-Sep-2026 and favorable.</t>
        </is>
      </c>
    </row>
    <row r="20" ht="44" customHeight="1" s="40">
      <c r="A20" s="4" t="n">
        <v>5</v>
      </c>
      <c r="B20" s="4" t="inlineStr">
        <is>
          <t>Revision and resubmission, if formally required</t>
        </is>
      </c>
      <c r="C20" s="4" t="inlineStr">
        <is>
          <t>One or more resolutions require revision</t>
        </is>
      </c>
      <c r="D20" s="4" t="inlineStr">
        <is>
          <t>1 to 4 months, set by authority</t>
        </is>
      </c>
      <c r="E20" s="4" t="inlineStr">
        <is>
          <t>Current only if official branch is revision</t>
        </is>
      </c>
      <c r="F20" s="4" t="inlineStr">
        <is>
          <t>Student + director</t>
        </is>
      </c>
      <c r="G20" s="4" t="inlineStr">
        <is>
          <t>Pending confirmation</t>
        </is>
      </c>
      <c r="H20" s="4" t="inlineStr">
        <is>
          <t>Enter the exact date in C9.</t>
        </is>
      </c>
    </row>
    <row r="21" ht="44" customHeight="1" s="40">
      <c r="A21" s="4" t="n">
        <v>6</v>
      </c>
      <c r="B21" s="4" t="inlineStr">
        <is>
          <t>Second preliminary reports</t>
        </is>
      </c>
      <c r="C21" s="4" t="inlineStr">
        <is>
          <t>Revised TFM is formally resubmitted</t>
        </is>
      </c>
      <c r="D21" s="4" t="inlineStr">
        <is>
          <t>45 days</t>
        </is>
      </c>
      <c r="E21" s="4" t="inlineStr">
        <is>
          <t>Contingent on revision branch</t>
        </is>
      </c>
      <c r="F21" s="4" t="inlineStr">
        <is>
          <t>Each juror</t>
        </is>
      </c>
      <c r="G21" s="4" t="inlineStr">
        <is>
          <t>Not started</t>
        </is>
      </c>
      <c r="H21" s="4" t="inlineStr">
        <is>
          <t>Jurors decide whether the revised version can pass to defense.</t>
        </is>
      </c>
    </row>
    <row r="22" ht="44" customHeight="1" s="40">
      <c r="A22" s="4" t="n">
        <v>7</v>
      </c>
      <c r="B22" s="4" t="inlineStr">
        <is>
          <t>Oral and public defense</t>
        </is>
      </c>
      <c r="C22" s="4" t="inlineStr">
        <is>
          <t>Three favorable reports received</t>
        </is>
      </c>
      <c r="D22" s="4" t="inlineStr">
        <is>
          <t>Within 45 days</t>
        </is>
      </c>
      <c r="E22" s="4" t="inlineStr">
        <is>
          <t>Current if all three resolutions are favorable</t>
        </is>
      </c>
      <c r="F22" s="4" t="inlineStr">
        <is>
          <t>Program direction + student + jurors</t>
        </is>
      </c>
      <c r="G22" s="4" t="inlineStr">
        <is>
          <t>Pending confirmation</t>
        </is>
      </c>
      <c r="H22" s="4" t="inlineStr">
        <is>
          <t>Confirm Ailin/Maximo resolutions and coordinate defense date.</t>
        </is>
      </c>
    </row>
    <row r="24">
      <c r="A24" s="50" t="inlineStr">
        <is>
          <t>Source: Proceso de presentacion y evaluacion del Trabajo Final de Maestria o Especializacion, Res.CD No. 1313/23 (Sep-2023). Daniel status: Devolucion DM - Daniel Milia, 18-Sep-2026. Director reviews: WhatsApp, 24-27 Sep-2026, including definitive Sovereign Risk (BRL), preferred common-reference two-spread specification and referee-only SELIC clarifications. Estimation template: Tabla para nuevas estimaciones panel, 25-Sep-2026.</t>
        </is>
      </c>
    </row>
  </sheetData>
  <mergeCells count="14">
    <mergeCell ref="A4:H4"/>
    <mergeCell ref="B8:H8"/>
    <mergeCell ref="B9:H9"/>
    <mergeCell ref="B13:H13"/>
    <mergeCell ref="A24:H24"/>
    <mergeCell ref="A2:H2"/>
    <mergeCell ref="B12:H12"/>
    <mergeCell ref="B6:H6"/>
    <mergeCell ref="A14:H14"/>
    <mergeCell ref="B10:H10"/>
    <mergeCell ref="A1:H1"/>
    <mergeCell ref="B11:H11"/>
    <mergeCell ref="B7:H7"/>
    <mergeCell ref="B5:H5"/>
  </mergeCells>
  <pageMargins left="0.7" right="0.7" top="0.75" bottom="0.75" header="0.3" footer="0.3"/>
</worksheet>
</file>

<file path=xl/worksheets/sheet4.xml><?xml version="1.0" encoding="utf-8"?>
<worksheet xmlns="http://schemas.openxmlformats.org/spreadsheetml/2006/main">
  <sheetPr>
    <tabColor rgb="FF0F6B78"/>
    <outlinePr summaryBelow="1" summaryRight="1"/>
    <pageSetUpPr/>
  </sheetPr>
  <dimension ref="A1:L27"/>
  <sheetViews>
    <sheetView showGridLines="0" workbookViewId="0">
      <selection activeCell="A1" sqref="A1"/>
    </sheetView>
  </sheetViews>
  <sheetFormatPr baseColWidth="8" defaultRowHeight="14.5"/>
  <cols>
    <col width="7" customWidth="1" style="40" min="1" max="1"/>
    <col width="10" customWidth="1" style="40" min="2" max="2"/>
    <col width="17" customWidth="1" style="40" min="3" max="3"/>
    <col width="25" customWidth="1" style="40" min="4" max="4"/>
    <col width="36" customWidth="1" style="40" min="5" max="5"/>
    <col width="38" customWidth="1" style="40" min="6" max="6"/>
    <col width="34" customWidth="1" style="40" min="7" max="7"/>
    <col width="40" customWidth="1" style="40" min="8" max="8"/>
    <col width="28" customWidth="1" style="40" min="9" max="9"/>
    <col width="17" customWidth="1" style="40" min="10" max="10"/>
    <col width="46" customWidth="1" style="40" min="11" max="12"/>
  </cols>
  <sheetData>
    <row r="1" ht="26" customHeight="1" s="40">
      <c r="A1" s="45" t="inlineStr">
        <is>
          <t>TFM Jury Revision Tracker</t>
        </is>
      </c>
    </row>
    <row r="2" ht="42" customHeight="1" s="40">
      <c r="A2" s="48" t="inlineStr">
        <is>
          <t>Sixteen dependency-based work packages consolidate 34 master issues. Updated 2-Oct-2026: the Econometric Panel Data Freeze Gate remains active. WP-06 has completed the VIX, Fed 3M Forward and nominal USD/BRL pre-freeze audits. USD/BRL passed all six stages with exact 4,229-row / 164-month panel mapping, level scaling in BRL per USD and clarified depreciation semantics. The original Bloomberg formula is not retained in the values-only workbook, which is documented as a provenance limitation. Current Data Freeze Gate task: audit GDP YoY, then the remaining baseline regressors. If RER is used in the final core table, it must be audited separately before freeze. No final baseline/robustness estimation should run before the gate passes.</t>
        </is>
      </c>
    </row>
    <row r="4" ht="28" customHeight="1" s="40">
      <c r="A4" s="1" t="inlineStr">
        <is>
          <t>Current package</t>
        </is>
      </c>
      <c r="B4" s="43">
        <f>IFERROR(INDEX(B12:B100,MATCH("In progress",J12:J100,0)),"")</f>
        <v/>
      </c>
    </row>
    <row r="5" ht="28" customHeight="1" s="40">
      <c r="A5" s="1" t="inlineStr">
        <is>
          <t>Current task</t>
        </is>
      </c>
      <c r="B5" s="43">
        <f>IFERROR(INDEX(E12:E100,MATCH("In progress",J12:J100,0)),"")</f>
        <v/>
      </c>
    </row>
    <row r="6" ht="28" customHeight="1" s="40">
      <c r="A6" s="1" t="inlineStr">
        <is>
          <t>Completed packages</t>
        </is>
      </c>
      <c r="B6" s="43">
        <f>COUNTIF(J12:J100,"Done")</f>
        <v/>
      </c>
    </row>
    <row r="7" ht="28" customHeight="1" s="40">
      <c r="A7" s="1" t="inlineStr">
        <is>
          <t>Overall progress</t>
        </is>
      </c>
      <c r="B7" s="51">
        <f>B6/16</f>
        <v/>
      </c>
    </row>
    <row r="8" ht="28" customHeight="1" s="40">
      <c r="A8" s="1" t="inlineStr">
        <is>
          <t>Current status</t>
        </is>
      </c>
      <c r="B8" s="43">
        <f>IFERROR(INDEX(J12:J100,MATCH("In progress",J12:J100,0)),"")</f>
        <v/>
      </c>
    </row>
    <row r="9" ht="28" customHeight="1" s="40">
      <c r="A9" s="1" t="inlineStr">
        <is>
          <t>Gate before moving on</t>
        </is>
      </c>
      <c r="B9" s="43">
        <f>IFERROR(INDEX(K12:K100,MATCH("In progress",J12:J100,0)),"")</f>
        <v/>
      </c>
    </row>
    <row r="11" ht="34" customHeight="1" s="40">
      <c r="A11" s="3" t="inlineStr">
        <is>
          <t>Seq.</t>
        </is>
      </c>
      <c r="B11" s="3" t="inlineStr">
        <is>
          <t>WP ID</t>
        </is>
      </c>
      <c r="C11" s="3" t="inlineStr">
        <is>
          <t>Phase</t>
        </is>
      </c>
      <c r="D11" s="3" t="inlineStr">
        <is>
          <t>Master issue IDs</t>
        </is>
      </c>
      <c r="E11" s="3" t="inlineStr">
        <is>
          <t>Work package</t>
        </is>
      </c>
      <c r="F11" s="3" t="inlineStr">
        <is>
          <t>Why this is sequenced here</t>
        </is>
      </c>
      <c r="G11" s="3" t="inlineStr">
        <is>
          <t>Thesis location(s)</t>
        </is>
      </c>
      <c r="H11" s="3" t="inlineStr">
        <is>
          <t>Concrete deliverable</t>
        </is>
      </c>
      <c r="I11" s="3" t="inlineStr">
        <is>
          <t>Dependencies</t>
        </is>
      </c>
      <c r="J11" s="3" t="inlineStr">
        <is>
          <t>Status</t>
        </is>
      </c>
      <c r="K11" s="3" t="inlineStr">
        <is>
          <t>Gate / acceptance criterion</t>
        </is>
      </c>
      <c r="L11" s="3" t="inlineStr">
        <is>
          <t>Working notes</t>
        </is>
      </c>
    </row>
    <row r="12" ht="72" customHeight="1" s="40">
      <c r="A12" s="8" t="n">
        <v>1</v>
      </c>
      <c r="B12" s="8" t="inlineStr">
        <is>
          <t>WP-01</t>
        </is>
      </c>
      <c r="C12" s="8" t="inlineStr">
        <is>
          <t>Measurement</t>
        </is>
      </c>
      <c r="D12" s="8" t="inlineStr">
        <is>
          <t>MR-03</t>
        </is>
      </c>
      <c r="E12" s="8" t="inlineStr">
        <is>
          <t>Recalculate the corporate spread using consistent compounding</t>
        </is>
      </c>
      <c r="F12" s="8" t="inlineStr">
        <is>
          <t>The dependent variable feeds every regression and conclusion.</t>
        </is>
      </c>
      <c r="G12" s="8" t="inlineStr">
        <is>
          <t>Sec. 2.2; Sec. 4.3; Sec. 4.5.2; Annex 8.7; all results</t>
        </is>
      </c>
      <c r="H12" s="8" t="inlineStr">
        <is>
          <t>Audited conventions; corrected spread series; old-vs-new comparison; unit tests.</t>
        </is>
      </c>
      <c r="I12" s="8" t="inlineStr">
        <is>
          <t>Submitted code/data and curve audit</t>
        </is>
      </c>
      <c r="J12" s="9" t="inlineStr">
        <is>
          <t>Done</t>
        </is>
      </c>
      <c r="K12" s="8" t="inlineStr">
        <is>
          <t>Approve formula, units, day-count, compounding and field types; benchmark/corporate inputs pass hand checks.</t>
        </is>
      </c>
      <c r="L12" s="10"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72" customHeight="1" s="40">
      <c r="A13" s="4" t="n">
        <v>2</v>
      </c>
      <c r="B13" s="4" t="inlineStr">
        <is>
          <t>WP-02</t>
        </is>
      </c>
      <c r="C13" s="4" t="inlineStr">
        <is>
          <t>Measurement</t>
        </is>
      </c>
      <c r="D13" s="4" t="inlineStr">
        <is>
          <t>MR-01, MR-02</t>
        </is>
      </c>
      <c r="E13" s="4" t="inlineStr">
        <is>
          <t>Verify Sovereign Risk (BRL) construction, common-reference logic and terminology</t>
        </is>
      </c>
      <c r="F13" s="4" t="inlineStr">
        <is>
          <t>Martin confirmed the intended sovereign regressor and preferred two-spread transmission specification. The nominal sovereign implementation was validated end-to-end: LTN and NTN-F government yields are compared with the same-date DI reference curve at exact BUS/252 residual tenor. Thesis terminology and documentation were subsequently aligned, including the distinction between the nominal sovereign DI benchmark and the IPCA-real corporate benchmark.</t>
        </is>
      </c>
      <c r="G13" s="4" t="inlineStr">
        <is>
          <t>Secs. 2.2, 4.3, 4.5.1-4.5.3, 5.2.3; Annex 8.3 and 8.8-8.9</t>
        </is>
      </c>
      <c r="H13" s="4" t="inlineStr">
        <is>
          <t>COMPLETED: code/formula audit; 252 LTN + 330 NTN-F maturity-matched sovereign spreads; same-date exact-tenor DI benchmark; geometric annual-effective spread; exact-node interpolation guard; regression tests; variable rename to sovereign_spread_brl; removal of synthetic-CDS wording; explicit methodology/appendix formula; literature/two-spread rationale; corporate-IPCA versus nominal-DI indexation clarification; affected figures/tables relabeled.</t>
        </is>
      </c>
      <c r="I13" s="4" t="inlineStr">
        <is>
          <t>WP-01</t>
        </is>
      </c>
      <c r="J13" s="9" t="inlineStr">
        <is>
          <t>Done</t>
        </is>
      </c>
      <c r="K13" s="4" t="inlineStr">
        <is>
          <t>Corporate Spread is documented against the matched IPCA-real reference curve and sovereign_spread_brl against the matched nominal DI reference curve, each at the appropriate date/tenor/indexation. The thesis explains why the two spreads are modeled separately rather than collapsed into a direct corporate-minus-sovereign spread; CDS terminology is removed. Any final search for unintended USD CDS usage is a pre-estimation integrity check and does not reopen WP-02.</t>
        </is>
      </c>
      <c r="L13" s="10" t="inlineStr">
        <is>
          <t>Closed 29-Sep-2026. Nominal Sovereign Risk (BRL) implementation validated on 582/582 observations with 0 missing benchmarks and max absolute benchmark difference 5.33e-13 bp; spread arithmetic independently verified; BZDIOVRA cash + liquid DI futures + Pre x DI swaps; exact BUS/252 tenor; pytest 5/5; commit b551414 pushed. Thesis edits confirmed complete: sovereign_spread_brl adopted, synthetic-CDS wording removed, explicit construction added in methodology/annex, corporate IPCA-real versus nominal sovereign DI benchmark distinction documented, and relevant diagrams/table labels updated. Final coefficients remain provisional until all explanatory-variable audits are complete.</t>
        </is>
      </c>
    </row>
    <row r="14" ht="72" customHeight="1" s="40">
      <c r="A14" s="4" t="n">
        <v>3</v>
      </c>
      <c r="B14" s="4" t="inlineStr">
        <is>
          <t>WP-03</t>
        </is>
      </c>
      <c r="C14" s="4" t="inlineStr">
        <is>
          <t>Data audit</t>
        </is>
      </c>
      <c r="D14" s="4" t="inlineStr">
        <is>
          <t>MR-14</t>
        </is>
      </c>
      <c r="E14" s="4" t="inlineStr">
        <is>
          <t>Audit amount_issued_to_bs_tot_asset and within-bond variation</t>
        </is>
      </c>
      <c r="F14" s="4" t="inlineStr">
        <is>
          <t>A time-invariant issue-size variable cannot be estimated in bond FE.</t>
        </is>
      </c>
      <c r="G14" s="4" t="inlineStr">
        <is>
          <t>Table 1 H6; Secs. 4.5.3 and 4.7; Table 3; Sec. 5.2.4; Annex 8.6.2 and Table 7; Figure 3</t>
        </is>
      </c>
      <c r="H14" s="4"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4" t="inlineStr">
        <is>
          <t>Raw panel and construction code</t>
        </is>
      </c>
      <c r="J14" s="9" t="inlineStr">
        <is>
          <t>Done</t>
        </is>
      </c>
      <c r="K14" s="4"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0"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t>
        </is>
      </c>
    </row>
    <row r="15" ht="72" customHeight="1" s="40">
      <c r="A15" s="4" t="n">
        <v>4</v>
      </c>
      <c r="B15" s="4" t="inlineStr">
        <is>
          <t>WP-04</t>
        </is>
      </c>
      <c r="C15" s="4" t="inlineStr">
        <is>
          <t>Variables</t>
        </is>
      </c>
      <c r="D15" s="4" t="inlineStr">
        <is>
          <t>MR-04</t>
        </is>
      </c>
      <c r="E15" s="4" t="inlineStr">
        <is>
          <t>Clarify SELIC baseline non-inclusion and run referee-only SELIC 3M Forward check(s)</t>
        </is>
      </c>
      <c r="F15" s="4" t="inlineStr">
        <is>
          <t>SELIC anchors the short end of the local reference curve and its influence propagates through the curve; Martin's 3M Forward SELIC exercise is only a low-cost referee diagnostic, not a competing baseline specification.</t>
        </is>
      </c>
      <c r="G15" s="4" t="inlineStr">
        <is>
          <t>Secs. 3.1-3.3, 4.3, 4.5.3, 5.2-5.4, 6.1</t>
        </is>
      </c>
      <c r="H15" s="4" t="inlineStr">
        <is>
          <t>Dual-rationale note; correlations/VIF; optional SELIC 3M Forward check(s) under the specified exclusions; label the exercise referee-only and decide whether it is worth reporting only after seeing its informational value.</t>
        </is>
      </c>
      <c r="I15" s="4" t="inlineStr">
        <is>
          <t>WP-01; final curve definitions</t>
        </is>
      </c>
      <c r="J15" s="9" t="inlineStr">
        <is>
          <t>Deferred</t>
        </is>
      </c>
      <c r="K15" s="4" t="inlineStr">
        <is>
          <t>Baseline omission is explicit; the local-curve embedding of SELIC is explained; any SELIC 3M Forward check follows the required exclusions, is labeled referee-only and does not replace the preferred model.</t>
        </is>
      </c>
      <c r="L15" s="10" t="inlineStr">
        <is>
          <t>1-Oct-2026 sequencing update: thesis Section 4.5.3 already justifies baseline SELIC non-inclusion, and the referee-only Brazil 3M DI proxy (YCSW0089 Index 3M) has been validated/downloaded for Dec-2010 to Dec-2025 with a reproducible BQNT notebook and README. Data preparation is complete. Regression-dependent closure is intentionally deferred under the Econometric Panel Data Freeze Gate: do not merge this robustness-only series into the authoritative panel or run Models 5-6 until the remaining baseline explanatory variables are audited/accepted unchanged and the final panel is frozen. After the core baseline rerun, review correlations/VIF/incremental information and run Model 5 (retain nominal FED3M) and Model 6 (omit FED3M), both omitting FX and Sovereign Risk (BRL).</t>
        </is>
      </c>
    </row>
    <row r="16" ht="72" customHeight="1" s="40">
      <c r="A16" s="4" t="n">
        <v>5</v>
      </c>
      <c r="B16" s="4" t="inlineStr">
        <is>
          <t>WP-05</t>
        </is>
      </c>
      <c r="C16" s="4" t="inlineStr">
        <is>
          <t>Heterogeneity</t>
        </is>
      </c>
      <c r="D16" s="4" t="inlineStr">
        <is>
          <t>MR-06, MR-07</t>
        </is>
      </c>
      <c r="E16" s="4" t="inlineStr">
        <is>
          <t>Test sovereign transmission by ratings and sector groups</t>
        </is>
      </c>
      <c r="F16" s="4" t="inlineStr">
        <is>
          <t>Post-hoc explanations must be converted into bounded tests.</t>
        </is>
      </c>
      <c r="G16" s="4" t="inlineStr">
        <is>
          <t>Secs. 3.1, 3.3.2, 4.1, 4.3, 5.2.3, 6.1, 6.3</t>
        </is>
      </c>
      <c r="H16" s="4" t="inlineStr">
        <is>
          <t>Rating tiers; sector groups; interactions; equality tests; group counts; optional issuer/bond slopes where powered.</t>
        </is>
      </c>
      <c r="I16" s="4" t="inlineStr">
        <is>
          <t>WP-02; rating rules</t>
        </is>
      </c>
      <c r="J16" s="9" t="inlineStr">
        <is>
          <t>Not started</t>
        </is>
      </c>
      <c r="K16" s="4" t="inlineStr">
        <is>
          <t>Homogeneity is tested with adequate-cell groups; small-T issuer/bond estimates are labeled imprecise.</t>
        </is>
      </c>
      <c r="L16" s="10" t="n"/>
    </row>
    <row r="17" ht="110" customHeight="1" s="40">
      <c r="A17" s="4" t="n">
        <v>6</v>
      </c>
      <c r="B17" s="4" t="inlineStr">
        <is>
          <t>WP-06</t>
        </is>
      </c>
      <c r="C17" s="4" t="inlineStr">
        <is>
          <t>Data Freeze Gate</t>
        </is>
      </c>
      <c r="D17" s="4" t="inlineStr">
        <is>
          <t>MR-09 closed; remaining baseline regressors</t>
        </is>
      </c>
      <c r="E17" s="4" t="inlineStr">
        <is>
          <t>Complete explanatory-variable Data Freeze Gate (VIX + Fed + USD/BRL passed; GDP YoY current)</t>
        </is>
      </c>
      <c r="F17" s="4" t="inlineStr">
        <is>
          <t>Daniel asks for a direct H1-result link and better explanation of the negative sign.</t>
        </is>
      </c>
      <c r="G17" s="4" t="inlineStr">
        <is>
          <t>Secs. 3.1, 3.3.1, 4.1, 4.5.3, 5.2.1, 6.1</t>
        </is>
      </c>
      <c r="H17" s="4" t="inlineStr">
        <is>
          <t>VIX PRE-FREEZE COMPLETE. FED 3M FORWARD SIX-STEP AUDIT COMPLETE. NOMINAL USD/BRL SIX-STEP AUDIT COMPLETE: macro workbook records USDBRL Curncy and BRL-per-USD semantics; original Bloomberg formula/raw-source layer is not retained and no duplicate repo provenance trace was found; 187 uninterrupted monthly observations Jan-2010 to Jul-2025 with no zeros/blanks/duplicate months; all observations use the last weekday of the month; panel variable usd_brl has 0 blanks, one value per month and exact source matching across 4,229 rows / 164 panel months; baseline enters in nominal BRL-per-USD levels with no log/rescaling/standardization; D.usd_brl is robustness only; higher values mean BRL depreciation. CURRENT: audit GDP YoY through source/ticker -&gt; raw series -&gt; monthly convention -&gt; panel match -&gt; transformation/scaling -&gt; economic label, then continue through the remaining baseline regressors. If RER replaces NER in the final core table, RER requires a separate pre-freeze audit. POST-FREEZE: correlations/sequential DK and final counterintuitive-sign interpretation are handled under MR-18/MR-19.</t>
        </is>
      </c>
      <c r="I17" s="4" t="inlineStr">
        <is>
          <t>VIX, Fed and nominal USD/BRL fully validated; GDP YoY is the next baseline audit; final diagnostics/estimation blocked by Data Freeze Gate</t>
        </is>
      </c>
      <c r="J17" s="9" t="inlineStr">
        <is>
          <t>In progress</t>
        </is>
      </c>
      <c r="K17" s="4" t="inlineStr">
        <is>
          <t>Global-factor block and nominal USD/BRL pre-freeze audit PASSED. Continue until every remaining baseline explanatory variable is audited or explicitly accepted unchanged; if RER is selected for the final core table, audit RER separately before freeze. Then rebuild/freeze panel_main_and_robustness.xlsx as the authoritative input. Post-freeze correlations and final VIX sign/H1 interpretation remain under MR-18/MR-19.</t>
        </is>
      </c>
      <c r="L17" s="10" t="inlineStr">
        <is>
          <t>2-Oct-2026 USD/BRL audit closure: macro workbook column D identifies “USDBRL Spot Exchange Rate - Price of 1 USD in BRL” / USDBRL Curncy. Upstream Bloomberg formula/raw source is not retained in the values-only workbook and repo-wide search found no second ticker trace, so this provenance limitation is explicit. Thesis-window source series contains 187 monthly observations from Jan-2010 through Jul-2025, no zeros/blanks/duplicate months, range 1.5493-6.1736, and every date is the last weekday of the month. Panel ts.usd_brl contains 0 blanks across 4,229 rows; 164 unique panel months from Dec-2010 through Jun-2025; no within-month conflicts; no source-month gaps; and 0 month-by-month mismatches. Stata uses usd_brl directly in levels; no log, /100, *100, z-score or standardization is applied. D_usd_brl = D.usd_brl exists only in the macro-differences robustness. Economic label: nominal USD/BRL (BRL per USD), month-end spot; an increase denotes BRL depreciation. Next Data Freeze Gate audit: GDP YoY. Separate caution: if RER replaces NER in the final core specification, the RER construction must be audited before panel freeze.</t>
        </is>
      </c>
    </row>
    <row r="18" ht="72" customHeight="1" s="40">
      <c r="A18" s="4" t="n">
        <v>7</v>
      </c>
      <c r="B18" s="4" t="inlineStr">
        <is>
          <t>WP-07</t>
        </is>
      </c>
      <c r="C18" s="4" t="inlineStr">
        <is>
          <t>Estimator</t>
        </is>
      </c>
      <c r="D18" s="4" t="inlineStr">
        <is>
          <t>MR-16, MR-17, MR-23</t>
        </is>
      </c>
      <c r="E18" s="4" t="inlineStr">
        <is>
          <t>Reset inference to one bond-FE Driscoll-Kraay table; remove plain FE and PCSE</t>
        </is>
      </c>
      <c r="F18" s="4" t="inlineStr">
        <is>
          <t>Martin confirmed the PCSE rationale and requested no separate conventional-FE or PCSE columns.</t>
        </is>
      </c>
      <c r="G18" s="4" t="inlineStr">
        <is>
          <t>Secs. 4.2, 4.6, 4.8, 5.1-5.3; Tables 2-3; Annex 8.10-8.11</t>
        </is>
      </c>
      <c r="H18" s="4" t="inlineStr">
        <is>
          <t>Audited logs; diagnostics; final DK setup/lag; precise PCSE exclusion note; one-table layout.</t>
        </is>
      </c>
      <c r="I18" s="4" t="inlineStr">
        <is>
          <t>WP-01 to WP-06 final variable definitions</t>
        </is>
      </c>
      <c r="J18" s="9" t="inlineStr">
        <is>
          <t>Not started</t>
        </is>
      </c>
      <c r="K18" s="4" t="inlineStr">
        <is>
          <t>All main significance uses one DK setup; diagnostics are shown; the core table has no separate plain-FE or PCSE columns.</t>
        </is>
      </c>
      <c r="L18" s="10" t="inlineStr">
        <is>
          <t>PCSE rationale confirmed 25-Sep-2026: imbalance and limited common time overlap weaken covariance estimation.</t>
        </is>
      </c>
    </row>
    <row r="19" ht="72" customHeight="1" s="40">
      <c r="A19" s="4" t="n">
        <v>8</v>
      </c>
      <c r="B19" s="4" t="inlineStr">
        <is>
          <t>WP-08</t>
        </is>
      </c>
      <c r="C19" s="4" t="inlineStr">
        <is>
          <t>Estimator</t>
        </is>
      </c>
      <c r="D19" s="4" t="inlineStr">
        <is>
          <t>MR-18</t>
        </is>
      </c>
      <c r="E19" s="4" t="inlineStr">
        <is>
          <t>Produce the single four-model DK table and targeted robustness checks</t>
        </is>
      </c>
      <c r="F19" s="4" t="inlineStr">
        <is>
          <t>Immediate paper/seminar deliverable requested by Martin for 30-Sep-2026.</t>
        </is>
      </c>
      <c r="G19" s="4" t="inlineStr">
        <is>
          <t>Secs. 4.6-4.8, 5.1-5.4; Annex 8.11</t>
        </is>
      </c>
      <c r="H19" s="4" t="inlineStr">
        <is>
          <t>Four core FE-DK columns using nominal FED3M; sovereign/local-macro and NER/RER variants; within R2/rho; referee-only optional SELIC Models 5-6; correlation matrix.</t>
        </is>
      </c>
      <c r="I19" s="4" t="inlineStr">
        <is>
          <t>WP-01, WP-02, WP-04, WP-07; confirm template ambiguities</t>
        </is>
      </c>
      <c r="J19" s="9" t="inlineStr">
        <is>
          <t>Not started</t>
        </is>
      </c>
      <c r="K19" s="4" t="inlineStr">
        <is>
          <t>Core grid matches the director template; old FED3M Real is excluded; NER/RER and stacking ambiguities are confirmed; any SELIC columns are separate, referee-only diagnostics.</t>
        </is>
      </c>
      <c r="L19" s="10" t="inlineStr">
        <is>
          <t>Target 30-Sep-2026. Attached table marks both NER and RER in Model 1 and keeps firm/bond controls in all columns; confirm before final code. 27-Sep: SELIC 3M Forward is only a referee check, not a baseline extension.</t>
        </is>
      </c>
    </row>
    <row r="20" ht="72" customHeight="1" s="40">
      <c r="A20" s="4" t="n">
        <v>9</v>
      </c>
      <c r="B20" s="4" t="inlineStr">
        <is>
          <t>WP-09</t>
        </is>
      </c>
      <c r="C20" s="4" t="inlineStr">
        <is>
          <t>Robustness</t>
        </is>
      </c>
      <c r="D20" s="4" t="inlineStr">
        <is>
          <t>MR-25</t>
        </is>
      </c>
      <c r="E20" s="4" t="inlineStr">
        <is>
          <t>Address stale OTC pricing as a competing explanation</t>
        </is>
      </c>
      <c r="F20" s="4" t="inlineStr">
        <is>
          <t>Lagged quotes may mechanically create anomalous signs.</t>
        </is>
      </c>
      <c r="G20" s="4" t="inlineStr">
        <is>
          <t>Secs. 2.1.1, 4.5.2, 4.6, 5.2.1, 5.2.3, 6.1-6.3; Annex 8.2 and 8.5</t>
        </is>
      </c>
      <c r="H20" s="4" t="inlineStr">
        <is>
          <t>Literature/limitation plus one feasible diagnostic or documented data limit.</t>
        </is>
      </c>
      <c r="I20" s="4" t="inlineStr">
        <is>
          <t>WP-01; source fields; WP-07</t>
        </is>
      </c>
      <c r="J20" s="9" t="inlineStr">
        <is>
          <t>Not started</t>
        </is>
      </c>
      <c r="K20" s="4" t="inlineStr">
        <is>
          <t>Flight-to-quality is not stated as fact before stale pricing is considered.</t>
        </is>
      </c>
      <c r="L20" s="10" t="n"/>
    </row>
    <row r="21" ht="72" customHeight="1" s="40">
      <c r="A21" s="4" t="n">
        <v>10</v>
      </c>
      <c r="B21" s="4" t="inlineStr">
        <is>
          <t>WP-10</t>
        </is>
      </c>
      <c r="C21" s="4" t="inlineStr">
        <is>
          <t>Identification</t>
        </is>
      </c>
      <c r="D21" s="4" t="inlineStr">
        <is>
          <t>MR-13, MR-15</t>
        </is>
      </c>
      <c r="E21" s="4" t="inlineStr">
        <is>
          <t>Clarify identifying variation and panel imbalance</t>
        </is>
      </c>
      <c r="F21" s="4" t="inlineStr">
        <is>
          <t>Common regressors vary monthly; bond histories are unequal.</t>
        </is>
      </c>
      <c r="G21" s="4" t="inlineStr">
        <is>
          <t>Secs. 4.2-4.4, 4.7-4.8, 5.1, 5.3-5.4, 6.1; Annex 8.10</t>
        </is>
      </c>
      <c r="H21" s="4" t="inlineStr">
        <is>
          <t>Variation-level table and T_i/coverage profile.</t>
        </is>
      </c>
      <c r="I21" s="4" t="inlineStr">
        <is>
          <t>WP-03 and WP-07</t>
        </is>
      </c>
      <c r="J21" s="9" t="inlineStr">
        <is>
          <t>Not started</t>
        </is>
      </c>
      <c r="K21" s="4" t="inlineStr">
        <is>
          <t>Months, bonds, issuers, T_i distribution and FE limits are reported.</t>
        </is>
      </c>
      <c r="L21" s="10" t="n"/>
    </row>
    <row r="22" ht="72" customHeight="1" s="40">
      <c r="A22" s="4" t="n">
        <v>11</v>
      </c>
      <c r="B22" s="4" t="inlineStr">
        <is>
          <t>WP-11</t>
        </is>
      </c>
      <c r="C22" s="4" t="inlineStr">
        <is>
          <t>Text/literature</t>
        </is>
      </c>
      <c r="D22" s="4" t="inlineStr">
        <is>
          <t>MR-11, MR-12, MR-21, MR-32, MR-34</t>
        </is>
      </c>
      <c r="E22" s="4" t="inlineStr">
        <is>
          <t>Correct language and make bounded literature/theory updates</t>
        </is>
      </c>
      <c r="F22" s="4" t="inlineStr">
        <is>
          <t>Daniel's literature comments are secondary and should support, not expand, the empirical design.</t>
        </is>
      </c>
      <c r="G22" s="4" t="inlineStr">
        <is>
          <t>Introduction; Secs. 3-4; references; defense literature map</t>
        </is>
      </c>
      <c r="H22" s="4" t="inlineStr">
        <is>
          <t>Non-causal wording; citation corrections; construct-proxy table; closest-study comparison.</t>
        </is>
      </c>
      <c r="I22" s="4" t="inlineStr">
        <is>
          <t>Final empirical framing from WP-04, WP-08, WP-09</t>
        </is>
      </c>
      <c r="J22" s="9" t="inlineStr">
        <is>
          <t>Not started</t>
        </is>
      </c>
      <c r="K22" s="4" t="inlineStr">
        <is>
          <t>Every citation supports the statement; the gap/proxies are demonstrated without theoretical overhaul.</t>
        </is>
      </c>
      <c r="L22" s="10" t="n"/>
    </row>
    <row r="23" ht="72" customHeight="1" s="40">
      <c r="A23" s="4" t="n">
        <v>12</v>
      </c>
      <c r="B23" s="4" t="inlineStr">
        <is>
          <t>WP-12</t>
        </is>
      </c>
      <c r="C23" s="4" t="inlineStr">
        <is>
          <t>Reporting</t>
        </is>
      </c>
      <c r="D23" s="4" t="inlineStr">
        <is>
          <t>MR-22, MR-24</t>
        </is>
      </c>
      <c r="E23" s="4" t="inlineStr">
        <is>
          <t>Build the single consolidated regression table and run table-to-text checks</t>
        </is>
      </c>
      <c r="F23" s="4" t="inlineStr">
        <is>
          <t>Final DK evidence must be readable and auditable.</t>
        </is>
      </c>
      <c r="G23" s="4" t="inlineStr">
        <is>
          <t>Table 3; Sec. 5.2.2; Annex Table 7</t>
        </is>
      </c>
      <c r="H23" s="4" t="inlineStr">
        <is>
          <t>One FE-DK table with SE, N, panel dimensions, within R2, rho, DK lag/FE metadata and diagnostics panel.</t>
        </is>
      </c>
      <c r="I23" s="4" t="inlineStr">
        <is>
          <t>WP-08 final estimates</t>
        </is>
      </c>
      <c r="J23" s="9" t="inlineStr">
        <is>
          <t>Not started</t>
        </is>
      </c>
      <c r="K23" s="4" t="inlineStr">
        <is>
          <t>The requested four core columns and any optional SELIC columns are readable, auditable and matched exactly by the prose.</t>
        </is>
      </c>
      <c r="L23" s="10" t="inlineStr">
        <is>
          <t>Table design source: Martin's 25-Sep-2026 template.</t>
        </is>
      </c>
    </row>
    <row r="24" ht="72" customHeight="1" s="40">
      <c r="A24" s="4" t="n">
        <v>13</v>
      </c>
      <c r="B24" s="4" t="inlineStr">
        <is>
          <t>WP-13</t>
        </is>
      </c>
      <c r="C24" s="4" t="inlineStr">
        <is>
          <t>Interpretation</t>
        </is>
      </c>
      <c r="D24" s="4" t="inlineStr">
        <is>
          <t>MR-19, MR-26</t>
        </is>
      </c>
      <c r="E24" s="4" t="inlineStr">
        <is>
          <t>Rewrite results and explain counterintuitive signs</t>
        </is>
      </c>
      <c r="F24" s="4" t="inlineStr">
        <is>
          <t>Daniel's central contribution is better H-result linkage; Brazil-specific mechanisms must be separated from evidence.</t>
        </is>
      </c>
      <c r="G24" s="4" t="inlineStr">
        <is>
          <t>Secs. 5.2-5.4 and 6.1-6.3</t>
        </is>
      </c>
      <c r="H24" s="4" t="inlineStr">
        <is>
          <t>Robust/partial/null/unresolved hierarchy; H-result map; Brazil-specific mechanisms.</t>
        </is>
      </c>
      <c r="I24" s="4" t="inlineStr">
        <is>
          <t>WP-02, WP-04, WP-05, WP-08, WP-09, WP-12</t>
        </is>
      </c>
      <c r="J24" s="9" t="inlineStr">
        <is>
          <t>Not started</t>
        </is>
      </c>
      <c r="K24" s="4" t="inlineStr">
        <is>
          <t>Every hypothesis and sign is tied to a final table or labeled as a mechanism/limitation.</t>
        </is>
      </c>
      <c r="L24" s="10" t="n"/>
    </row>
    <row r="25" ht="72" customHeight="1" s="40">
      <c r="A25" s="4" t="n">
        <v>14</v>
      </c>
      <c r="B25" s="4" t="inlineStr">
        <is>
          <t>WP-14</t>
        </is>
      </c>
      <c r="C25" s="4" t="inlineStr">
        <is>
          <t>Narrative</t>
        </is>
      </c>
      <c r="D25" s="4" t="inlineStr">
        <is>
          <t>MR-30, MR-31, MR-32, MR-33</t>
        </is>
      </c>
      <c r="E25" s="4" t="inlineStr">
        <is>
          <t>Rewrite gap, contribution, abstract/conclusions and final copy-edit</t>
        </is>
      </c>
      <c r="F25" s="4" t="inlineStr">
        <is>
          <t>Do this only after the empirical freeze; Daniel is treated selectively as exposition.</t>
        </is>
      </c>
      <c r="G25" s="4" t="inlineStr">
        <is>
          <t>Resumen/Abstract; Introduction; Secs. 5.4 and 6; entire-thesis QA</t>
        </is>
      </c>
      <c r="H25" s="4" t="inlineStr">
        <is>
          <t>Closest-study contribution; one central question; hypothesis scorecard; final language consistency.</t>
        </is>
      </c>
      <c r="I25" s="4" t="inlineStr">
        <is>
          <t>WP-13</t>
        </is>
      </c>
      <c r="J25" s="9" t="inlineStr">
        <is>
          <t>Not started</t>
        </is>
      </c>
      <c r="K25" s="4" t="inlineStr">
        <is>
          <t>Question, contribution, tables and conclusions are consistent and appropriately bounded.</t>
        </is>
      </c>
      <c r="L25" s="10" t="n"/>
    </row>
    <row r="26" ht="72" customHeight="1" s="40">
      <c r="A26" s="4" t="n">
        <v>15</v>
      </c>
      <c r="B26" s="4" t="inlineStr">
        <is>
          <t>WP-15</t>
        </is>
      </c>
      <c r="C26" s="4" t="inlineStr">
        <is>
          <t>Reproducibility</t>
        </is>
      </c>
      <c r="D26" s="4" t="inlineStr">
        <is>
          <t>MR-27, MR-28</t>
        </is>
      </c>
      <c r="E26" s="4" t="inlineStr">
        <is>
          <t>Complete replication package and data provenance</t>
        </is>
      </c>
      <c r="F26" s="4" t="inlineStr">
        <is>
          <t>Ailin requests a runnable pipeline and Martin agrees.</t>
        </is>
      </c>
      <c r="G26" s="4" t="inlineStr">
        <is>
          <t>Secs. 4.4-4.5; Annex 8.1-8.14; source notes</t>
        </is>
      </c>
      <c r="H26" s="4" t="inlineStr">
        <is>
          <t>README, environment, scripts, queries, dates, hashes, consolidation rules, curve settings and clean-run evidence.</t>
        </is>
      </c>
      <c r="I26" s="4" t="inlineStr">
        <is>
          <t>All final code/outputs</t>
        </is>
      </c>
      <c r="J26" s="9" t="inlineStr">
        <is>
          <t>Not started</t>
        </is>
      </c>
      <c r="K26" s="4" t="inlineStr">
        <is>
          <t>A clean run regenerates every permitted output and provenance is complete.</t>
        </is>
      </c>
      <c r="L26" s="10" t="n"/>
    </row>
    <row r="27" ht="72" customHeight="1" s="40">
      <c r="A27" s="4" t="n">
        <v>16</v>
      </c>
      <c r="B27" s="4" t="inlineStr">
        <is>
          <t>WP-16</t>
        </is>
      </c>
      <c r="C27" s="4" t="inlineStr">
        <is>
          <t>Resubmission</t>
        </is>
      </c>
      <c r="D27" s="4" t="inlineStr">
        <is>
          <t>MR-05, MR-08, MR-10, MR-20, MR-29; synthesis MR-30/31/32</t>
        </is>
      </c>
      <c r="E27" s="4" t="inlineStr">
        <is>
          <t>Prepare response memo, defense and Bordeaux/Geneva materials</t>
        </is>
      </c>
      <c r="F27" s="4" t="inlineStr">
        <is>
          <t>All comments must receive a change, diagnostic, answer or reasoned non-change.</t>
        </is>
      </c>
      <c r="G27" s="4" t="inlineStr">
        <is>
          <t>Response memo; future research; defense/seminar deck; deadline checklist</t>
        </is>
      </c>
      <c r="H27" s="4" t="inlineStr">
        <is>
          <t>Issue-by-issue memo; final single DK seminar table; diagnostics; scoped non-changes; confirmed deadlines; concise Bordeaux/Geneva deck.</t>
        </is>
      </c>
      <c r="I27" s="4" t="inlineStr">
        <is>
          <t>WP-01 to WP-15</t>
        </is>
      </c>
      <c r="J27" s="9" t="inlineStr">
        <is>
          <t>Not started</t>
        </is>
      </c>
      <c r="K27" s="4" t="inlineStr">
        <is>
          <t>Every observation maps to evidence or a reasoned non-change; seminar materials use the agreed table; deadlines and formal branch are tracked.</t>
        </is>
      </c>
      <c r="L27" s="10" t="inlineStr">
        <is>
          <t>Near-term table target recorded as 30-Sep-2026.</t>
        </is>
      </c>
    </row>
  </sheetData>
  <mergeCells count="8">
    <mergeCell ref="B4:L4"/>
    <mergeCell ref="A2:L2"/>
    <mergeCell ref="B6:L6"/>
    <mergeCell ref="B7:L7"/>
    <mergeCell ref="A1:L1"/>
    <mergeCell ref="B5:L5"/>
    <mergeCell ref="B9:L9"/>
    <mergeCell ref="B8:L8"/>
  </mergeCells>
  <conditionalFormatting sqref="B7">
    <cfRule type="dataBar" priority="1">
      <dataBar>
        <cfvo type="num" val="0"/>
        <cfvo type="num" val="1"/>
        <color rgb="FF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1F4E78"/>
    <outlinePr summaryBelow="1" summaryRight="1"/>
    <pageSetUpPr/>
  </sheetPr>
  <dimension ref="A1:S37"/>
  <sheetViews>
    <sheetView showGridLines="0" workbookViewId="0">
      <selection activeCell="A1" sqref="A1"/>
    </sheetView>
  </sheetViews>
  <sheetFormatPr baseColWidth="8" defaultRowHeight="14.5"/>
  <cols>
    <col width="10" customWidth="1" style="40" min="1" max="1"/>
    <col width="28" customWidth="1" style="40" min="2" max="2"/>
    <col width="12" customWidth="1" style="40" min="3" max="4"/>
    <col width="24" customWidth="1" style="40" min="5" max="5"/>
    <col width="48" customWidth="1" style="40" min="6" max="6"/>
    <col width="34" customWidth="1" style="40" min="7" max="7"/>
    <col width="23" customWidth="1" style="40" min="8" max="8"/>
    <col width="50" customWidth="1" style="40" min="9" max="9"/>
    <col width="46" customWidth="1" style="40" min="10" max="10"/>
    <col width="34" customWidth="1" style="40" min="11" max="11"/>
    <col width="38" customWidth="1" style="40" min="12" max="12"/>
    <col width="58" customWidth="1" style="40" min="13" max="13"/>
    <col width="30" customWidth="1" style="40" min="14" max="14"/>
    <col width="31" customWidth="1" style="40" min="15" max="15"/>
    <col width="52" customWidth="1" style="40" min="16" max="16"/>
    <col width="21" customWidth="1" style="40" min="17" max="17"/>
    <col width="17" customWidth="1" style="40" min="18" max="18"/>
    <col width="50" customWidth="1" style="40" min="19" max="19"/>
  </cols>
  <sheetData>
    <row r="1" ht="26" customHeight="1" s="40">
      <c r="A1" s="45" t="inlineStr">
        <is>
          <t>Master Revision Matrix</t>
        </is>
      </c>
    </row>
    <row r="2" ht="42" customHeight="1" s="40">
      <c r="A2" s="48" t="inlineStr">
        <is>
          <t>One row per distinct issue across all three jurors. Overlaps are consolidated so the same problem is solved once. Updated through 2-Oct-2026: WP-03/MR-14 is closed; MR-04/WP-04 regression work remains deferred under the Data Freeze Gate; MR-09 is closed as a VIX/global-proxy data-definition issue; the companion Fed 3M Forward and nominal USD/BRL six-step audits are also complete. Current pre-freeze work moves to GDP YoY and the remaining baseline regressors. If RER is selected for the final core table, it must be audited separately before freeze. Post-freeze correlations and final counterintuitive-sign interpretation remain under MR-18/MR-19.</t>
        </is>
      </c>
    </row>
    <row r="3" ht="34" customHeight="1" s="40">
      <c r="A3" s="3" t="inlineStr">
        <is>
          <t>ID</t>
        </is>
      </c>
      <c r="B3" s="3" t="inlineStr">
        <is>
          <t>Source IDs</t>
        </is>
      </c>
      <c r="C3" s="3" t="inlineStr">
        <is>
          <t>Overlap group</t>
        </is>
      </c>
      <c r="D3" s="3" t="inlineStr">
        <is>
          <t>Priority</t>
        </is>
      </c>
      <c r="E3" s="3" t="inlineStr">
        <is>
          <t>Juror(s)</t>
        </is>
      </c>
      <c r="F3" s="3" t="inlineStr">
        <is>
          <t>Consolidated juror criticism</t>
        </is>
      </c>
      <c r="G3" s="3" t="inlineStr">
        <is>
          <t>Report location</t>
        </is>
      </c>
      <c r="H3" s="3" t="inlineStr">
        <is>
          <t>Martin position</t>
        </is>
      </c>
      <c r="I3" s="3" t="inlineStr">
        <is>
          <t>Martin annotation / evidence</t>
        </is>
      </c>
      <c r="J3" s="3" t="inlineStr">
        <is>
          <t>My diagnosis</t>
        </is>
      </c>
      <c r="K3" s="3" t="inlineStr">
        <is>
          <t>Revision category</t>
        </is>
      </c>
      <c r="L3" s="3" t="inlineStr">
        <is>
          <t>Thesis location</t>
        </is>
      </c>
      <c r="M3" s="3" t="inlineStr">
        <is>
          <t>Required action</t>
        </is>
      </c>
      <c r="N3" s="3" t="inlineStr">
        <is>
          <t>Estimation / work type</t>
        </is>
      </c>
      <c r="O3" s="3" t="inlineStr">
        <is>
          <t>Dependencies</t>
        </is>
      </c>
      <c r="P3" s="3" t="inlineStr">
        <is>
          <t>Acceptance criterion</t>
        </is>
      </c>
      <c r="Q3" s="3" t="inlineStr">
        <is>
          <t>Change required?</t>
        </is>
      </c>
      <c r="R3" s="3" t="inlineStr">
        <is>
          <t>Status</t>
        </is>
      </c>
      <c r="S3" s="3" t="inlineStr">
        <is>
          <t>Working notes</t>
        </is>
      </c>
    </row>
    <row r="4" ht="104" customHeight="1" s="40">
      <c r="A4" s="4" t="inlineStr">
        <is>
          <t>MR-01</t>
        </is>
      </c>
      <c r="B4" s="4" t="inlineStr">
        <is>
          <t>A-03, A-10, A-13; M-04, M-17, M-18; D-10, D-17</t>
        </is>
      </c>
      <c r="C4" s="4" t="inlineStr">
        <is>
          <t>OG-01</t>
        </is>
      </c>
      <c r="D4" s="11" t="inlineStr">
        <is>
          <t>Critical</t>
        </is>
      </c>
      <c r="E4" s="4" t="inlineStr">
        <is>
          <t>Ailin + Maximo + Daniel</t>
        </is>
      </c>
      <c r="F4" s="4" t="inlineStr">
        <is>
          <t>The sovereign-risk regressor and the dependent corporate spread share the IPCA benchmark. The jury asks whether this creates mechanical covariance and how the negative coefficient should be interpreted.</t>
        </is>
      </c>
      <c r="G4" s="12" t="inlineStr">
        <is>
          <t>Ailin pp. 2, 6-7 and M1; Maximo p. 2 sec. 1.2 and pp. 4-5; Daniel pp. 2-3</t>
        </is>
      </c>
      <c r="H4" s="4" t="inlineStr">
        <is>
          <t>Agrees / strongly agrees</t>
        </is>
      </c>
      <c r="I4" s="12"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4" t="inlineStr">
        <is>
          <t>Resolved. The jurors' shared-benchmark/mechanical-covariance concern was separated from the actual final implementation. Corporate spreads are measured against an IPCA-real reference curve, while sovereign_spread_brl uses nominal LTN/NTN-F minus the DI reference curve. The thesis now states that each spread is matched to its own instrument/indexation benchmark and explains why they remain separate variables in the sovereign-transmission regression.</t>
        </is>
      </c>
      <c r="K4" s="4" t="inlineStr">
        <is>
          <t>A - Methodological issue / additional estimation</t>
        </is>
      </c>
      <c r="L4" s="4" t="inlineStr">
        <is>
          <t>Sec. 2.2; Sec. 4.3; Sec. 4.5.1-4.5.3; Sec. 5.2.3; Annex 8.3 and 8.8-8.9</t>
        </is>
      </c>
      <c r="M4" s="4" t="inlineStr">
        <is>
          <t>Completed: audit/document both formulas and tenor matching; distinguish the IPCA-real corporate benchmark from the nominal DI sovereign benchmark; explain the preferred two-spread transmission specification and the direct corporate-minus-sovereign alternative; remove synthetic-CDS terminology and align thesis figures/tables/appendix. Final model-panel integrity checks are deferred to the pre-estimation gate.</t>
        </is>
      </c>
      <c r="N4" s="4" t="inlineStr">
        <is>
          <t>Code/formula audit + terminology correction + re-estimation if implementation changes</t>
        </is>
      </c>
      <c r="O4" s="4" t="inlineStr">
        <is>
          <t>MR-03 measurement audit; local curve inputs; government-bond matching</t>
        </is>
      </c>
      <c r="P4" s="4" t="inlineStr">
        <is>
          <t>The thesis and code use explicit Corporate Spread and sovereign_spread_brl constructions with date/tenor/indexation matching appropriate to each instrument. The shared-benchmark concern is addressed without falsely claiming an identical curve; the two-spread specification is justified; no CDS label or pure-default interpretation remains. Final estimates will be refreshed only after the remaining regressor audits.</t>
        </is>
      </c>
      <c r="Q4" s="4" t="inlineStr">
        <is>
          <t>Yes</t>
        </is>
      </c>
      <c r="R4" s="9" t="inlineStr">
        <is>
          <t>Done</t>
        </is>
      </c>
      <c r="S4" s="10" t="inlineStr">
        <is>
          <t>Closed 29-Sep-2026. Sovereign code audit: 252 LTN + 330 NTN-F = 582 observations; 582/582 DI benchmarks reproduced; 0 missing; max abs diff 5.33e-13 bp; geometric spread verified; exact-node guard; pytest 5/5; commit b551414 pushed. Thesis edits completed across Resumen/Abstract, sovereign-risk literature/methodology, results terminology, annex construction, and Figures 3/4. Corporate IPCA-real versus nominal sovereign DI benchmark distinction is now explicit.</t>
        </is>
      </c>
    </row>
    <row r="5" ht="104" customHeight="1" s="40">
      <c r="A5" s="4" t="inlineStr">
        <is>
          <t>MR-02</t>
        </is>
      </c>
      <c r="B5" s="4" t="inlineStr">
        <is>
          <t>A-03, A-13; M-04</t>
        </is>
      </c>
      <c r="C5" s="4" t="inlineStr">
        <is>
          <t>OG-01</t>
        </is>
      </c>
      <c r="D5" s="13" t="inlineStr">
        <is>
          <t>High</t>
        </is>
      </c>
      <c r="E5" s="4" t="inlineStr">
        <is>
          <t>Ailin + Maximo</t>
        </is>
      </c>
      <c r="F5" s="4" t="inlineStr">
        <is>
          <t>The labels synthetic CDS BRL and risk-free real curve overstate what is measured when the benchmark includes sovereign NTN-B yields and market-basis components.</t>
        </is>
      </c>
      <c r="G5" s="12" t="inlineStr">
        <is>
          <t>Ailin pp. 2, 6-7; Maximo p. 2 sec. 1.2</t>
        </is>
      </c>
      <c r="H5" s="4" t="inlineStr">
        <is>
          <t>Agrees / strongly agrees</t>
        </is>
      </c>
      <c r="I5" s="12"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4" t="inlineStr">
        <is>
          <t>Resolved. The final variable is sovereign_spread_brl / local-currency sovereign spread, not a CDS. The nominal DI reference curve and exact-tenor matching are documented, and language that could imply a pure default-protection measure was removed. The corporate IPCA-real benchmark is described separately so the indexation treatment is transparent.</t>
        </is>
      </c>
      <c r="K5" s="4" t="inlineStr">
        <is>
          <t>B - Clarification / reframing</t>
        </is>
      </c>
      <c r="L5" s="4" t="inlineStr">
        <is>
          <t>Resumen/Abstract; Sec. 2.2; Sec. 4.5.1-4.5.3; Sec. 5.2.3; Annex 8.3 and 8.8-8.9; Glossary</t>
        </is>
      </c>
      <c r="M5" s="4" t="inlineStr">
        <is>
          <t>Completed: rename the variable consistently as sovereign_spread_brl / sovereign risk in local currency; define it algebraically as government YTM versus the matched nominal DI reference yield; explain the DI curve construction and tenor matching; remove synthetic CDS BRL from thesis text, diagrams and table labels. Keep the director-confirmed USD CDS 5Y non-use as a final pre-estimation code-integrity check only.</t>
        </is>
      </c>
      <c r="N5" s="4" t="inlineStr">
        <is>
          <t>Terminology correction + code/formula verification</t>
        </is>
      </c>
      <c r="O5" s="4" t="inlineStr">
        <is>
          <t>MR-01 measurement decision</t>
        </is>
      </c>
      <c r="P5" s="4" t="inlineStr">
        <is>
          <t>One name and one formula are used throughout; the variable is never described as a CDS; the nominal DI reference curve and maturity matching are transparent; the implementation reproduces the documented construction; the IPCA-real corporate benchmark is separately identified. No USD CDS variable is to be introduced into the model.</t>
        </is>
      </c>
      <c r="Q5" s="4" t="inlineStr">
        <is>
          <t>Yes</t>
        </is>
      </c>
      <c r="R5" s="9" t="inlineStr">
        <is>
          <t>Done</t>
        </is>
      </c>
      <c r="S5" s="10" t="inlineStr">
        <is>
          <t>Closed 29-Sep-2026 after thesis terminology and documentation cleanup. sovereign_spread_brl replaces synthetic_cds_brl; p.26-27 and Annex 8.8 construction rewritten; Resumen/Abstract, results text, tables/diagrams and Mermaid source relabeled; DI curve description updated to dynamic cash + liquid futures + Pre x DI swaps and framed as a local nominal market reference rather than an absolute risk-free rate.</t>
        </is>
      </c>
    </row>
    <row r="6" ht="104" customHeight="1" s="40">
      <c r="A6" s="8" t="inlineStr">
        <is>
          <t>MR-03</t>
        </is>
      </c>
      <c r="B6" s="8" t="inlineStr">
        <is>
          <t>A-05</t>
        </is>
      </c>
      <c r="C6" s="8" t="inlineStr">
        <is>
          <t>OG-02</t>
        </is>
      </c>
      <c r="D6" s="11" t="inlineStr">
        <is>
          <t>Critical</t>
        </is>
      </c>
      <c r="E6" s="8" t="inlineStr">
        <is>
          <t>Ailin</t>
        </is>
      </c>
      <c r="F6" s="8" t="inlineStr">
        <is>
          <t>Spreads were computed by linear subtraction of yields despite compounding conventions. Ailin requests a geometric or log-consistent spread on matched curves.</t>
        </is>
      </c>
      <c r="G6" s="14" t="inlineStr">
        <is>
          <t>Ailin p. 2 sec. 2(c), p. 7, M2</t>
        </is>
      </c>
      <c r="H6" s="8" t="inlineStr">
        <is>
          <t>Agrees / strongly agrees</t>
        </is>
      </c>
      <c r="I6" s="14" t="inlineStr">
        <is>
          <t>Martin explicitly instructed a recalculation. This remains WP-01 and precedes every re-estimation.</t>
        </is>
      </c>
      <c r="J6" s="8" t="inlineStr">
        <is>
          <t>Genuine dependent-variable measurement correction. Exact units, signs, field types and compounding must be audited before coding.</t>
        </is>
      </c>
      <c r="K6" s="8" t="inlineStr">
        <is>
          <t>A - Methodological issue / additional estimation</t>
        </is>
      </c>
      <c r="L6" s="8" t="inlineStr">
        <is>
          <t>Sec. 2.2 eq. (1); Sec. 4.3; Sec. 4.5.2 eq. (3); Annex 8.7; all empirical outputs</t>
        </is>
      </c>
      <c r="M6" s="8" t="inlineStr">
        <is>
          <t>Recompute each bond-month spread with consistent compounding, matched tenor and consistent YTM/zero conventions. Unit-test hand cases, compare old versus new series, and regenerate all estimates, tables and conclusions.</t>
        </is>
      </c>
      <c r="N6" s="8" t="inlineStr">
        <is>
          <t>Dependent-variable rebuild + full re-estimation</t>
        </is>
      </c>
      <c r="O6" s="8" t="inlineStr">
        <is>
          <t>Curve and yield convention audit</t>
        </is>
      </c>
      <c r="P6" s="8" t="inlineStr">
        <is>
          <t>Formula, units, day count and compounding are documented; old/new summary statistics and hand checks reproduce; all downstream outputs use the corrected series.</t>
        </is>
      </c>
      <c r="Q6" s="8" t="inlineStr">
        <is>
          <t>Yes</t>
        </is>
      </c>
      <c r="R6" s="9" t="inlineStr">
        <is>
          <t>In progress</t>
        </is>
      </c>
      <c r="S6" s="10" t="inlineStr">
        <is>
          <t>Corporate-spread measurement stage completed 25-Sep-2026: NTN-B 2012-2013 field contamination corrected and corporate yield inputs rechecked. MR-03 remains open only because downstream estimates/tables still need regeneration with the corrected series.</t>
        </is>
      </c>
    </row>
    <row r="7" ht="104" customHeight="1" s="40">
      <c r="A7" s="4" t="inlineStr">
        <is>
          <t>MR-04</t>
        </is>
      </c>
      <c r="B7" s="4" t="inlineStr">
        <is>
          <t>A-02, A-04, A-14</t>
        </is>
      </c>
      <c r="C7" s="4" t="inlineStr">
        <is>
          <t>OG-02</t>
        </is>
      </c>
      <c r="D7" s="13" t="inlineStr">
        <is>
          <t>High</t>
        </is>
      </c>
      <c r="E7" s="4" t="inlineStr">
        <is>
          <t>Ailin</t>
        </is>
      </c>
      <c r="F7" s="4" t="inlineStr">
        <is>
          <t>Subtracting the real curve implicitly imposes unit exposure to the curve factor; the level/slope of Brazilian real rates may be omitted.</t>
        </is>
      </c>
      <c r="G7" s="12" t="inlineStr">
        <is>
          <t>Ailin p. 2 sec. 2(b), pp. 5-7, M3</t>
        </is>
      </c>
      <c r="H7" s="4" t="inlineStr">
        <is>
          <t>Partially agrees</t>
        </is>
      </c>
      <c r="I7" s="12" t="inlineStr">
        <is>
          <t>25-Sep-2026: baseline SELIC non-inclusion has two reasons: UIP implies overlap with FED3M plus expected BRL depreciation, and SELIC anchors the short end of the local reference curve. 27-Sep: Martin reinforces that the local curve already embeds the SELIC effect and that the SELIC 3M Forward exercise is only for the referee; after seeing the result, decide whether it adds enough information to show or publish.</t>
        </is>
      </c>
      <c r="J7" s="4" t="inlineStr">
        <is>
          <t>Baseline omission is economically defensible and the referee-only domestic short-rate proxy is now fully sourced/documented. Because Models 5-6 depend on the final common regressor set, the regression stage is intentionally parked until all baseline explanatory variables are audited and the authoritative panel is frozen.</t>
        </is>
      </c>
      <c r="K7" s="4" t="inlineStr">
        <is>
          <t>A - Methodological issue / additional estimation</t>
        </is>
      </c>
      <c r="L7" s="4" t="inlineStr">
        <is>
          <t>Secs. 3.1-3.3; Sec. 4.3; Sec. 4.5.3; Sec. 5.2-5.4; Sec. 6.1</t>
        </is>
      </c>
      <c r="M7" s="4" t="inlineStr">
        <is>
          <t>Explain the dual rationale for excluding SELIC from the baseline, including its role at the short end of the local reference curve. Report common-block correlations/VIF. If feasible, run the scoped SELIC 3M Forward referee checks: (i) omit FX and sovereign spread; (ii) also omit FED3M Forward. Label them referee-only and decide whether to retain them in the paper only if informative.</t>
        </is>
      </c>
      <c r="N7" s="4" t="inlineStr">
        <is>
          <t>Clarification + diagnostics + optional two-column robustness</t>
        </is>
      </c>
      <c r="O7" s="4" t="inlineStr">
        <is>
          <t>MR-03; final curve definitions</t>
        </is>
      </c>
      <c r="P7" s="4" t="inlineStr">
        <is>
          <t>The baseline SELIC omission is explicit and tied to both UIP overlap and the curve construction; any SELIC 3M Forward columns obey the required exclusions, are labeled referee-only, and are not treated as a baseline replacement.</t>
        </is>
      </c>
      <c r="Q7" s="4" t="inlineStr">
        <is>
          <t>Yes - clarification / minimum scope</t>
        </is>
      </c>
      <c r="R7" s="9" t="inlineStr">
        <is>
          <t>Deferred</t>
        </is>
      </c>
      <c r="S7" s="10" t="inlineStr">
        <is>
          <t>1-Oct-2026: thesis rationale and Brazil 3M DI data package are complete. Regression-dependent closure is deferred, not dropped. After the Data Freeze Gate: merge/validate brazil_3m_di as a robustness-only series, review correlations/VIF, and run the two scoped referee diagnostics under Martin's exclusions.</t>
        </is>
      </c>
    </row>
    <row r="8" ht="104" customHeight="1" s="40">
      <c r="A8" s="4" t="inlineStr">
        <is>
          <t>MR-05</t>
        </is>
      </c>
      <c r="B8" s="4" t="inlineStr">
        <is>
          <t>A-02, A-04, A-14</t>
        </is>
      </c>
      <c r="C8" s="4" t="inlineStr">
        <is>
          <t>OG-02</t>
        </is>
      </c>
      <c r="D8" s="15" t="inlineStr">
        <is>
          <t>Low</t>
        </is>
      </c>
      <c r="E8" s="4" t="inlineStr">
        <is>
          <t>Ailin</t>
        </is>
      </c>
      <c r="F8" s="4" t="inlineStr">
        <is>
          <t>Ailin proposes a full two-step Fama-MacBeth factor model with bond-specific betas to the real curve.</t>
        </is>
      </c>
      <c r="G8" s="12" t="inlineStr">
        <is>
          <t>Ailin pp. 5-7, M3</t>
        </is>
      </c>
      <c r="H8" s="4" t="inlineStr">
        <is>
          <t>Disagrees / not endorsed</t>
        </is>
      </c>
      <c r="I8" s="12" t="inlineStr">
        <is>
          <t>Martin does not endorse a full theoretical redesign; treat it as a future extension. Current work should use bounded grouped heterogeneity tests.</t>
        </is>
      </c>
      <c r="J8" s="4" t="inlineStr">
        <is>
          <t>Interesting but disproportionate as a mandatory revision.</t>
        </is>
      </c>
      <c r="K8" s="4" t="inlineStr">
        <is>
          <t>D - Not endorsed / optional / response only</t>
        </is>
      </c>
      <c r="L8" s="4" t="inlineStr">
        <is>
          <t>Potentially Sec. 4.3-4.8 and Annex A</t>
        </is>
      </c>
      <c r="M8" s="4" t="inlineStr">
        <is>
          <t>Do not redesign the TFM around Fama-MacBeth. Mention it as future research and address the core concern through MR-04 and MR-06.</t>
        </is>
      </c>
      <c r="N8" s="4" t="inlineStr">
        <is>
          <t>No mandatory estimation</t>
        </is>
      </c>
      <c r="O8" s="4" t="inlineStr">
        <is>
          <t>MR-04 and MR-06</t>
        </is>
      </c>
      <c r="P8" s="4" t="inlineStr">
        <is>
          <t>Response memo explains the scoped remedy and future extension.</t>
        </is>
      </c>
      <c r="Q8" s="4" t="inlineStr">
        <is>
          <t>No - response only</t>
        </is>
      </c>
      <c r="R8" s="9" t="inlineStr">
        <is>
          <t>Not started</t>
        </is>
      </c>
      <c r="S8" s="10" t="n"/>
    </row>
    <row r="9" ht="104" customHeight="1" s="40">
      <c r="A9" s="4" t="inlineStr">
        <is>
          <t>MR-06</t>
        </is>
      </c>
      <c r="B9" s="4" t="inlineStr">
        <is>
          <t>A-07; M-01, M-16, M-17; D-10, D-18</t>
        </is>
      </c>
      <c r="C9" s="4" t="inlineStr">
        <is>
          <t>OG-03</t>
        </is>
      </c>
      <c r="D9" s="11" t="inlineStr">
        <is>
          <t>Critical</t>
        </is>
      </c>
      <c r="E9" s="4" t="inlineStr">
        <is>
          <t>Ailin + Maximo + Daniel</t>
        </is>
      </c>
      <c r="F9" s="4" t="inlineStr">
        <is>
          <t>The theory allows heterogeneous sovereign transmission, but the submitted model estimates one average coefficient and then invokes heterogeneous issuers to explain the sign.</t>
        </is>
      </c>
      <c r="G9" s="12" t="inlineStr">
        <is>
          <t>Ailin pp. 2, 9-10; Maximo pp. 1, 4; Daniel pp. 2-3</t>
        </is>
      </c>
      <c r="H9" s="4" t="inlineStr">
        <is>
          <t>Agrees / strongly agrees</t>
        </is>
      </c>
      <c r="I9" s="12" t="inlineStr">
        <is>
          <t>Test heterogeneity parsimoniously. Martin later clarified that issuer-level and, where powered, bond-level estimates may be informative, but small-T slopes can be imprecise. Sector/industry and rating groups are the current priority.</t>
        </is>
      </c>
      <c r="J9" s="4" t="inlineStr">
        <is>
          <t>Real model-result consistency issue; avoid 103 underpowered separate slopes.</t>
        </is>
      </c>
      <c r="K9" s="4" t="inlineStr">
        <is>
          <t>A - Methodological issue / additional estimation</t>
        </is>
      </c>
      <c r="L9" s="4" t="inlineStr">
        <is>
          <t>Secs. 3.1, 3.3.2, 4.1, 4.3, 5.2.3, 6.1, 6.3</t>
        </is>
      </c>
      <c r="M9" s="4" t="inlineStr">
        <is>
          <t>Estimate staged heterogeneity: broad rating tiers; defensible sector groups; issuer/bond slopes only where T is adequate. Report counts, confidence intervals and equality tests.</t>
        </is>
      </c>
      <c r="N9" s="4" t="inlineStr">
        <is>
          <t>Additional estimation</t>
        </is>
      </c>
      <c r="O9" s="4" t="inlineStr">
        <is>
          <t>MR-01, MR-03, MR-16; group definitions</t>
        </is>
      </c>
      <c r="P9" s="4" t="inlineStr">
        <is>
          <t>At least one defensible rating and sector test is reported; small-cell limitations are explicit and explanations follow estimates.</t>
        </is>
      </c>
      <c r="Q9" s="4" t="inlineStr">
        <is>
          <t>Yes</t>
        </is>
      </c>
      <c r="R9" s="9" t="inlineStr">
        <is>
          <t>Not started</t>
        </is>
      </c>
      <c r="S9" s="10" t="n"/>
    </row>
    <row r="10" ht="104" customHeight="1" s="40">
      <c r="A10" s="4" t="inlineStr">
        <is>
          <t>MR-07</t>
        </is>
      </c>
      <c r="B10" s="4" t="inlineStr">
        <is>
          <t>A-07; M-01, M-16, M-17</t>
        </is>
      </c>
      <c r="C10" s="4" t="inlineStr">
        <is>
          <t>OG-03</t>
        </is>
      </c>
      <c r="D10" s="13" t="inlineStr">
        <is>
          <t>High</t>
        </is>
      </c>
      <c r="E10" s="4" t="inlineStr">
        <is>
          <t>Ailin + Maximo</t>
        </is>
      </c>
      <c r="F10" s="4" t="inlineStr">
        <is>
          <t>Local-currency credit quality is used ex post to explain the sovereign coefficient but is absent from the model.</t>
        </is>
      </c>
      <c r="G10" s="12" t="inlineStr">
        <is>
          <t>Ailin pp. 2, 9-10; Maximo pp. 1, 4</t>
        </is>
      </c>
      <c r="H10" s="4" t="inlineStr">
        <is>
          <t>Partially agrees</t>
        </is>
      </c>
      <c r="I10" s="12" t="inlineStr">
        <is>
          <t>Martin supports a compact rating-tier test but not an unlimited interaction battery.</t>
        </is>
      </c>
      <c r="J10" s="4" t="inlineStr">
        <is>
          <t>A compact rating interaction is the cleanest direct test if rating timing and cells are defensible.</t>
        </is>
      </c>
      <c r="K10" s="4" t="inlineStr">
        <is>
          <t>A - Methodological issue / additional estimation</t>
        </is>
      </c>
      <c r="L10" s="4" t="inlineStr">
        <is>
          <t>Sec. 5.2.3; Sec. 6.1 and 6.3; variable section 4.5.3</t>
        </is>
      </c>
      <c r="M10" s="4" t="inlineStr">
        <is>
          <t>Add broad local-currency rating tiers, define timing/missing treatment, interact with the sovereign factor and test equality.</t>
        </is>
      </c>
      <c r="N10" s="4" t="inlineStr">
        <is>
          <t>New data field + additional estimation</t>
        </is>
      </c>
      <c r="O10" s="4" t="inlineStr">
        <is>
          <t>MR-06; rating source/timing rule</t>
        </is>
      </c>
      <c r="P10" s="4" t="inlineStr">
        <is>
          <t>Rating definitions, dates, counts and equality tests are documented.</t>
        </is>
      </c>
      <c r="Q10" s="4" t="inlineStr">
        <is>
          <t>Yes - minimum scope</t>
        </is>
      </c>
      <c r="R10" s="9" t="inlineStr">
        <is>
          <t>Not started</t>
        </is>
      </c>
      <c r="S10" s="10" t="n"/>
    </row>
    <row r="11" ht="104" customHeight="1" s="40">
      <c r="A11" s="4" t="inlineStr">
        <is>
          <t>MR-08</t>
        </is>
      </c>
      <c r="B11" s="4" t="inlineStr">
        <is>
          <t>M-16, M-17, M-18</t>
        </is>
      </c>
      <c r="C11" s="4" t="inlineStr">
        <is>
          <t>OG-03</t>
        </is>
      </c>
      <c r="D11" s="15" t="inlineStr">
        <is>
          <t>Low</t>
        </is>
      </c>
      <c r="E11" s="4" t="inlineStr">
        <is>
          <t>Maximo</t>
        </is>
      </c>
      <c r="F11" s="4" t="inlineStr">
        <is>
          <t>Test flight-to-quality explanations with crisis/event dummies and interactions.</t>
        </is>
      </c>
      <c r="G11" s="12" t="inlineStr">
        <is>
          <t>Maximo p. 4 and defense questions</t>
        </is>
      </c>
      <c r="H11" s="4" t="inlineStr">
        <is>
          <t>Disagrees / not endorsed</t>
        </is>
      </c>
      <c r="I11" s="12" t="inlineStr">
        <is>
          <t>Useful but optional/future research; the thesis must have a bounded end.</t>
        </is>
      </c>
      <c r="J11" s="4" t="inlineStr">
        <is>
          <t>Potentially informative but secondary after ratings, sectors and stale-price checks.</t>
        </is>
      </c>
      <c r="K11" s="4" t="inlineStr">
        <is>
          <t>D - Not endorsed / optional / response only</t>
        </is>
      </c>
      <c r="L11" s="4" t="inlineStr">
        <is>
          <t>Sec. 5.2.1, 5.2.3, 6.1, 6.3</t>
        </is>
      </c>
      <c r="M11" s="4" t="inlineStr">
        <is>
          <t>Keep as future research unless a pre-specified low-cost robustness can be added. Do not present flight-to-quality as a finding.</t>
        </is>
      </c>
      <c r="N11" s="4" t="inlineStr">
        <is>
          <t>Optional interaction estimation</t>
        </is>
      </c>
      <c r="O11" s="4" t="inlineStr">
        <is>
          <t>MR-06 and MR-07</t>
        </is>
      </c>
      <c r="P11" s="4" t="inlineStr">
        <is>
          <t>Narrative labels this as a possible mechanism unless directly tested.</t>
        </is>
      </c>
      <c r="Q11" s="4" t="inlineStr">
        <is>
          <t>No - response only</t>
        </is>
      </c>
      <c r="R11" s="9" t="inlineStr">
        <is>
          <t>Not started</t>
        </is>
      </c>
      <c r="S11" s="10" t="n"/>
    </row>
    <row r="12" ht="118" customHeight="1" s="40">
      <c r="A12" s="4" t="inlineStr">
        <is>
          <t>MR-09</t>
        </is>
      </c>
      <c r="B12" s="4" t="inlineStr">
        <is>
          <t>A-01, A-06; M-03, M-10, M-18; D-09, D-18</t>
        </is>
      </c>
      <c r="C12" s="4" t="inlineStr">
        <is>
          <t>OG-04</t>
        </is>
      </c>
      <c r="D12" s="13" t="inlineStr">
        <is>
          <t>High</t>
        </is>
      </c>
      <c r="E12" s="4" t="inlineStr">
        <is>
          <t>Ailin + Maximo + Daniel</t>
        </is>
      </c>
      <c r="F12" s="4" t="inlineStr">
        <is>
          <t>VIX differs from the proxy in the cited reference, is not pure risk aversion, and its negative sign relative to H1 requires an explicit conditional interpretation.</t>
        </is>
      </c>
      <c r="G12" s="12" t="inlineStr">
        <is>
          <t>Ailin pp. 1, 7-8; Maximo pp. 1, 3, 5; Daniel pp. 2-3</t>
        </is>
      </c>
      <c r="H12" s="4" t="inlineStr">
        <is>
          <t>Agrees / strongly agrees</t>
        </is>
      </c>
      <c r="I12" s="12" t="inlineStr">
        <is>
          <t>24-Sep-2026: Daniel mainly requires clearer hypothesis-result links and better explanations of counterintuitive signs. Keep VIX if justified; do not overstate robustness.</t>
        </is>
      </c>
      <c r="J12" s="4" t="inlineStr">
        <is>
          <t>Retain VIX as a global volatility/financial-stress proxy, not pure risk aversion, and interpret it conditionally after sequential models.</t>
        </is>
      </c>
      <c r="K12" s="4" t="inlineStr">
        <is>
          <t>B - Clarification / reframing</t>
        </is>
      </c>
      <c r="L12" s="4" t="inlineStr">
        <is>
          <t>Secs. 3.1, 3.3.1, H1/Table 1, Sec. 4.5.3, Sec. 5.2.1, Sec. 6.1</t>
        </is>
      </c>
      <c r="M12" s="4" t="inlineStr">
        <is>
          <t>CLOSED PRE-FREEZE. VIX source/monthly history/panel mapping/scaling/economic label are validated and the thesis frames VIX as expected S&amp;P 500 implied volatility used as a proxy for global financial stress, not pure risk aversion. The companion Fed 3M Forward audit also passed all six stages: Bloomberg USSOC Curncy / PX_LAST (3M USD OIS), daily history, month-end convention, 164/164 exact panel match, native percentage-point scaling and corrected technical definition. Final coefficient-movement/correlation diagnostics and final VIX sign/H1 prose are downstream tasks under MR-18/MR-19 after the frozen-panel DK rerun; they do not keep MR-09 open.</t>
        </is>
      </c>
      <c r="N12" s="4" t="inlineStr">
        <is>
          <t>Data/source audit + text revision + diagnostic; optional alternative proxy</t>
        </is>
      </c>
      <c r="O12" s="4" t="inlineStr">
        <is>
          <t>MR-18 correlation matrix</t>
        </is>
      </c>
      <c r="P12" s="4" t="inlineStr">
        <is>
          <t>PASSED: the VIX construct/proxy is justified and accurately labeled; its source, monthly mapping and scaling are validated. The companion nominal Fed control is independently sourced and reproduced end-to-end, including 164/164 exact panel-month matches and a technically correct OIS definition. Any post-freeze correlation table and final sign interpretation are assigned to MR-18/MR-19.</t>
        </is>
      </c>
      <c r="Q12" s="4" t="inlineStr">
        <is>
          <t>Yes</t>
        </is>
      </c>
      <c r="R12" s="9" t="inlineStr">
        <is>
          <t>Done</t>
        </is>
      </c>
      <c r="S12" s="10" t="inlineStr">
        <is>
          <t>Closed 2-Oct-2026. VIX pre-freeze audit passed (187/187 monthly history check; 4,229/4,229 panel mapping; raw index-point scaling; corrected financial-stress wording). Fed 3M Forward audit passed all six stages: USSOC Curncy / PX_LAST (3M USD OIS); daily/raw coverage confirmed; month-end/last-available-quote convention validated; 164/164 distinct panel months exact with 0 mismatches and max abs diff 0.0; baseline Stata uses native percentage-point values without rescaling; thesis definition now states the exact ticker/field, OIS instrument, month-end convention and that the series is not forward-starting. Reproducible BQNT notebook and README are version-controlled in fb7748d. Remaining post-freeze correlation/sign work is consolidated under MR-18/MR-19.</t>
        </is>
      </c>
    </row>
    <row r="13" ht="104" customHeight="1" s="40">
      <c r="A13" s="4" t="inlineStr">
        <is>
          <t>MR-10</t>
        </is>
      </c>
      <c r="B13" s="4" t="inlineStr">
        <is>
          <t>A-06</t>
        </is>
      </c>
      <c r="C13" s="4" t="inlineStr">
        <is>
          <t>OG-04</t>
        </is>
      </c>
      <c r="D13" s="15" t="inlineStr">
        <is>
          <t>Low</t>
        </is>
      </c>
      <c r="E13" s="4" t="inlineStr">
        <is>
          <t>Ailin</t>
        </is>
      </c>
      <c r="F13" s="4" t="inlineStr">
        <is>
          <t>Replace or complement VIX with a large composite PCA index.</t>
        </is>
      </c>
      <c r="G13" s="12" t="inlineStr">
        <is>
          <t>Ailin pp. 7-8, M4</t>
        </is>
      </c>
      <c r="H13" s="4" t="inlineStr">
        <is>
          <t>Disagrees / not endorsed</t>
        </is>
      </c>
      <c r="I13" s="12" t="inlineStr">
        <is>
          <t>No mandatory replacement. Acknowledge alternatives; at most use one transparent proxy.</t>
        </is>
      </c>
      <c r="J13" s="4" t="inlineStr">
        <is>
          <t>Large extension with substantial discretion; not necessary to resolve the core criticism.</t>
        </is>
      </c>
      <c r="K13" s="4" t="inlineStr">
        <is>
          <t>D - Not endorsed / optional / response only</t>
        </is>
      </c>
      <c r="L13" s="4" t="inlineStr">
        <is>
          <t>Would affect Sec. 4.5.3, all regressions and Annex A</t>
        </is>
      </c>
      <c r="M13" s="4" t="inlineStr">
        <is>
          <t>Do not build the PCA as a mandatory revision. Mention as future research; optionally show one simple alternative proxy.</t>
        </is>
      </c>
      <c r="N13" s="4" t="inlineStr">
        <is>
          <t>No mandatory estimation</t>
        </is>
      </c>
      <c r="O13" s="4" t="inlineStr">
        <is>
          <t>MR-09</t>
        </is>
      </c>
      <c r="P13" s="4" t="inlineStr">
        <is>
          <t>Response memo explains the narrower remedy.</t>
        </is>
      </c>
      <c r="Q13" s="4" t="inlineStr">
        <is>
          <t>No - response only</t>
        </is>
      </c>
      <c r="R13" s="9" t="inlineStr">
        <is>
          <t>Not started</t>
        </is>
      </c>
      <c r="S13" s="10" t="n"/>
    </row>
    <row r="14" ht="104" customHeight="1" s="40">
      <c r="A14" s="4" t="inlineStr">
        <is>
          <t>MR-11</t>
        </is>
      </c>
      <c r="B14" s="4" t="inlineStr">
        <is>
          <t>A-02, A-04, A-12; D-03, D-15</t>
        </is>
      </c>
      <c r="C14" s="4" t="inlineStr">
        <is>
          <t>OG-05</t>
        </is>
      </c>
      <c r="D14" s="13" t="inlineStr">
        <is>
          <t>High</t>
        </is>
      </c>
      <c r="E14" s="4" t="inlineStr">
        <is>
          <t>Ailin + Daniel</t>
        </is>
      </c>
      <c r="F14" s="4" t="inlineStr">
        <is>
          <t>The literature bridge to factor exposure, stale OTC pricing and the closest empirical studies is too descriptive or incomplete.</t>
        </is>
      </c>
      <c r="G14" s="12" t="inlineStr">
        <is>
          <t>Ailin pp. 1, 3, 5-7; Daniel pp. 1-3</t>
        </is>
      </c>
      <c r="H14" s="4" t="inlineStr">
        <is>
          <t>Partially agrees</t>
        </is>
      </c>
      <c r="I14" s="12" t="inlineStr">
        <is>
          <t>24-Sep-2026: Daniel is less substantial than the other reports; bibliography is a minor, targeted correction. Add only literature that supports the actual specification, tests and limits.</t>
        </is>
      </c>
      <c r="J14" s="4" t="inlineStr">
        <is>
          <t>A concise, critical comparison is warranted; no theoretical overhaul.</t>
        </is>
      </c>
      <c r="K14" s="4" t="inlineStr">
        <is>
          <t>C - Presentation / structure / literature / documentation</t>
        </is>
      </c>
      <c r="L14" s="4" t="inlineStr">
        <is>
          <t>Secs. 3.1-3.3, 4.6-4.7, 5.2-5.4; References</t>
        </is>
      </c>
      <c r="M14" s="4" t="inlineStr">
        <is>
          <t>Add a concise factor/stale-price bridge and directly compare the closest local-currency corporate-debt and panel-method papers. Correct minor bibliography issues.</t>
        </is>
      </c>
      <c r="N14" s="4" t="inlineStr">
        <is>
          <t>Literature and interpretation rewrite</t>
        </is>
      </c>
      <c r="O14" s="4" t="inlineStr">
        <is>
          <t>MR-04, MR-25, MR-34</t>
        </is>
      </c>
      <c r="P14" s="4" t="inlineStr">
        <is>
          <t>Each added reference is tied to a specific construct, test or limitation.</t>
        </is>
      </c>
      <c r="Q14" s="4" t="inlineStr">
        <is>
          <t>Yes</t>
        </is>
      </c>
      <c r="R14" s="9" t="inlineStr">
        <is>
          <t>Not started</t>
        </is>
      </c>
      <c r="S14" s="10" t="n"/>
    </row>
    <row r="15" ht="104" customHeight="1" s="40">
      <c r="A15" s="4" t="inlineStr">
        <is>
          <t>MR-12</t>
        </is>
      </c>
      <c r="B15" s="4" t="inlineStr">
        <is>
          <t>M-02; D-07, D-17</t>
        </is>
      </c>
      <c r="C15" s="4" t="inlineStr">
        <is>
          <t>OG-06</t>
        </is>
      </c>
      <c r="D15" s="13" t="inlineStr">
        <is>
          <t>High</t>
        </is>
      </c>
      <c r="E15" s="4" t="inlineStr">
        <is>
          <t>Maximo + Daniel</t>
        </is>
      </c>
      <c r="F15" s="4" t="inlineStr">
        <is>
          <t>The thesis sometimes uses causal language although the design is observational and correlational.</t>
        </is>
      </c>
      <c r="G15" s="12" t="inlineStr">
        <is>
          <t>Maximo p. 1; Daniel pp. 2-3</t>
        </is>
      </c>
      <c r="H15" s="4" t="inlineStr">
        <is>
          <t>No explicit position</t>
        </is>
      </c>
      <c r="I15" s="12" t="inlineStr">
        <is>
          <t>No direct Martin comment; consistent with the general instruction to avoid overstatement.</t>
        </is>
      </c>
      <c r="J15" s="4" t="inlineStr">
        <is>
          <t>Valid, low-cost wording correction.</t>
        </is>
      </c>
      <c r="K15" s="4" t="inlineStr">
        <is>
          <t>B - Clarification / reframing</t>
        </is>
      </c>
      <c r="L15" s="4" t="inlineStr">
        <is>
          <t>Sec. 4.3, 4.7; Resumen/Abstract; Conclusions</t>
        </is>
      </c>
      <c r="M15" s="4" t="inlineStr">
        <is>
          <t>Audit causal verbs and replace them with conditional-association language unless a specific identification argument supports causality.</t>
        </is>
      </c>
      <c r="N15" s="4" t="inlineStr">
        <is>
          <t>Text-only global edit</t>
        </is>
      </c>
      <c r="O15" s="4" t="inlineStr">
        <is>
          <t>Final model wording after MR-19</t>
        </is>
      </c>
      <c r="P15" s="4" t="inlineStr">
        <is>
          <t>Abstract, methods, results and conclusions use consistent non-causal language.</t>
        </is>
      </c>
      <c r="Q15" s="4" t="inlineStr">
        <is>
          <t>Yes</t>
        </is>
      </c>
      <c r="R15" s="9" t="inlineStr">
        <is>
          <t>Not started</t>
        </is>
      </c>
      <c r="S15" s="10" t="n"/>
    </row>
    <row r="16" ht="104" customHeight="1" s="40">
      <c r="A16" s="4" t="inlineStr">
        <is>
          <t>MR-13</t>
        </is>
      </c>
      <c r="B16" s="4" t="inlineStr">
        <is>
          <t>M-05; D-05, D-17</t>
        </is>
      </c>
      <c r="C16" s="4" t="inlineStr">
        <is>
          <t>OG-07</t>
        </is>
      </c>
      <c r="D16" s="13" t="inlineStr">
        <is>
          <t>High</t>
        </is>
      </c>
      <c r="E16" s="4" t="inlineStr">
        <is>
          <t>Maximo + Daniel</t>
        </is>
      </c>
      <c r="F16" s="4" t="inlineStr">
        <is>
          <t>The 4,229 rows do not equal 4,229 independent macro observations; the panel is strongly unbalanced with unequal bond histories.</t>
        </is>
      </c>
      <c r="G16" s="12" t="inlineStr">
        <is>
          <t>Maximo p. 2; Daniel pp. 2-3</t>
        </is>
      </c>
      <c r="H16" s="4" t="inlineStr">
        <is>
          <t>Agrees / strongly agrees</t>
        </is>
      </c>
      <c r="I16" s="12" t="inlineStr">
        <is>
          <t>Clarify the effective monthly dimension and the panel-balance profile; do not overstate precision or generalizability.</t>
        </is>
      </c>
      <c r="J16" s="4" t="inlineStr">
        <is>
          <t>Does not invalidate panel estimation, but affects inference and exposition.</t>
        </is>
      </c>
      <c r="K16" s="4" t="inlineStr">
        <is>
          <t>B - Clarification / reframing</t>
        </is>
      </c>
      <c r="L16" s="4" t="inlineStr">
        <is>
          <t>Secs. 4.2-4.4, 5.1; Annex 8.10</t>
        </is>
      </c>
      <c r="M16" s="4" t="inlineStr">
        <is>
          <t>Report observations, months, bonds and issuers separately; add T_i distribution, entry/exit years and annual coverage.</t>
        </is>
      </c>
      <c r="N16" s="4" t="inlineStr">
        <is>
          <t>Method clarification + table metadata</t>
        </is>
      </c>
      <c r="O16" s="4" t="inlineStr">
        <is>
          <t>MR-16 and MR-24</t>
        </is>
      </c>
      <c r="P16" s="4" t="inlineStr">
        <is>
          <t>Methods and tables distinguish all dimensions and state unequal coverage clearly.</t>
        </is>
      </c>
      <c r="Q16" s="4" t="inlineStr">
        <is>
          <t>Yes</t>
        </is>
      </c>
      <c r="R16" s="9" t="inlineStr">
        <is>
          <t>Not started</t>
        </is>
      </c>
      <c r="S16" s="10" t="n"/>
    </row>
    <row r="17" ht="104" customHeight="1" s="40">
      <c r="A17" s="4" t="inlineStr">
        <is>
          <t>MR-14</t>
        </is>
      </c>
      <c r="B17" s="4" t="inlineStr">
        <is>
          <t>M-06, M-17; D-11, D-18</t>
        </is>
      </c>
      <c r="C17" s="4" t="inlineStr">
        <is>
          <t>OG-07</t>
        </is>
      </c>
      <c r="D17" s="11" t="inlineStr">
        <is>
          <t>Critical</t>
        </is>
      </c>
      <c r="E17" s="4" t="inlineStr">
        <is>
          <t>Maximo + Daniel</t>
        </is>
      </c>
      <c r="F17" s="4" t="inlineStr">
        <is>
          <t>A time-invariant issue-size variable should be absorbed by bond fixed effects, yet a coefficient is reported; the sign also changes under PCSE.</t>
        </is>
      </c>
      <c r="G17" s="12" t="inlineStr">
        <is>
          <t>Maximo pp. 2, 4; Daniel pp. 2-3</t>
        </is>
      </c>
      <c r="H17" s="4" t="inlineStr">
        <is>
          <t>Agrees / strongly agrees</t>
        </is>
      </c>
      <c r="I17" s="12" t="inlineStr">
        <is>
          <t>Audit the construction. Issue size itself is invariant; any variation must come from the denominator or timing.</t>
        </is>
      </c>
      <c r="J17" s="4" t="inlineStr">
        <is>
          <t>Resolved. The time-invariance concern applies to AMT_ISSUED in levels, not to the estimated ratio. The actual regressor is AMT_ISSUED / BS_TOT_ASSET; quarterly issuer assets create time variation. In the estimation sample 98/103 bonds (95.15%) exhibit within-bond variation, so the ratio is identified under bond fixed effects. The coefficient measures changes in relative issue size versus issuer scale, not changes in the original issue amount.</t>
        </is>
      </c>
      <c r="K17" s="4" t="inlineStr">
        <is>
          <t>A - Methodological issue / additional estimation</t>
        </is>
      </c>
      <c r="L17" s="4" t="inlineStr">
        <is>
          <t>Table 1 H6; Secs. 4.5.3 and 4.7; Table 3; Sec. 5.2.4; Sec. 6.1-6.2.2; Annex 8.6.2 and Table 7; Figure 3</t>
        </is>
      </c>
      <c r="M17" s="4" t="inlineStr">
        <is>
          <t>Completed: trace AMT_ISSUED and issuer BS_TOT_ASSET from raw inputs; reconstruct the full panel; quantify within/between variation and quarterly timing; document the ‰ scale; retain and rename/define the variable consistently; revise FE identification and interpretation; keep a one-quarter-lagged denominator as timing robustness.</t>
        </is>
      </c>
      <c r="N17" s="4" t="inlineStr">
        <is>
          <t>Data audit + possible model revision</t>
        </is>
      </c>
      <c r="O17" s="4" t="inlineStr">
        <is>
          <t>Raw panel and code</t>
        </is>
      </c>
      <c r="P17" s="4" t="inlineStr">
        <is>
          <t>Passed: 4,229/4,229 observations reproduce from raw sources; 98/103 bonds vary within bond; the final variable name and ‰ units match construction; the thesis states that identification comes from the time-varying denominator and does not interpret the coefficient as the effect of changing AMT_ISSUED.</t>
        </is>
      </c>
      <c r="Q17" s="4" t="inlineStr">
        <is>
          <t>Yes</t>
        </is>
      </c>
      <c r="R17" s="9" t="inlineStr">
        <is>
          <t>Done</t>
        </is>
      </c>
      <c r="S17" s="10" t="inlineStr">
        <is>
          <t>Closed 30-Sep-2026. Full raw-source reconciliation matched the thesis panel essentially exactly. Within-bond audit: 98/103 bonds vary (95.15%); five bonds with &lt;=1 distinct value have very short histories. Timing check showed the contemporaneous quarterly denominator; a Q-1 denominator robustness was built (4,223/4,229 available; corr=0.9918; same 98/103 varying bonds). Main specification retains the audited contemporaneous ratio. Thesis updated in H6, Sec. 4.5.3, Sec. 4.7, results/conclusions, Tables 3/7, Figure 3 and Annex 8.6.2.</t>
        </is>
      </c>
    </row>
    <row r="18" ht="104" customHeight="1" s="40">
      <c r="A18" s="4" t="inlineStr">
        <is>
          <t>MR-15</t>
        </is>
      </c>
      <c r="B18" s="4" t="inlineStr">
        <is>
          <t>M-06; D-05</t>
        </is>
      </c>
      <c r="C18" s="4" t="inlineStr">
        <is>
          <t>OG-07</t>
        </is>
      </c>
      <c r="D18" s="16" t="inlineStr">
        <is>
          <t>Medium</t>
        </is>
      </c>
      <c r="E18" s="4" t="inlineStr">
        <is>
          <t>Maximo + Daniel</t>
        </is>
      </c>
      <c r="F18" s="4" t="inlineStr">
        <is>
          <t>Most regressors vary at month or firm-month level while same-firm bonds can have different spreads; substantial bond-time variation remains unexplained.</t>
        </is>
      </c>
      <c r="G18" s="12" t="inlineStr">
        <is>
          <t>Maximo p. 2; Daniel p. 2</t>
        </is>
      </c>
      <c r="H18" s="4" t="inlineStr">
        <is>
          <t>Partially agrees</t>
        </is>
      </c>
      <c r="I18" s="12" t="inlineStr">
        <is>
          <t>Clarify what fixed effects do and do not absorb; no model can cover every bond-time factor.</t>
        </is>
      </c>
      <c r="J18" s="4" t="inlineStr">
        <is>
          <t>Primarily a scope and interpretation issue.</t>
        </is>
      </c>
      <c r="K18" s="4" t="inlineStr">
        <is>
          <t>B - Clarification / reframing</t>
        </is>
      </c>
      <c r="L18" s="4" t="inlineStr">
        <is>
          <t>Secs. 4.7-4.8, 5.3-5.4, 6.1 and limitations</t>
        </is>
      </c>
      <c r="M18" s="4" t="inlineStr">
        <is>
          <t>Explain identification at month, firm-month and bond-month levels; interpret low within R2 without claiming model failure.</t>
        </is>
      </c>
      <c r="N18" s="4" t="inlineStr">
        <is>
          <t>Clarification; optional controls</t>
        </is>
      </c>
      <c r="O18" s="4" t="inlineStr">
        <is>
          <t>MR-13 and MR-14</t>
        </is>
      </c>
      <c r="P18" s="4" t="inlineStr">
        <is>
          <t>The thesis states FE limits and unexplained variation transparently.</t>
        </is>
      </c>
      <c r="Q18" s="4" t="inlineStr">
        <is>
          <t>Yes</t>
        </is>
      </c>
      <c r="R18" s="9" t="inlineStr">
        <is>
          <t>Not started</t>
        </is>
      </c>
      <c r="S18" s="10" t="n"/>
    </row>
    <row r="19" ht="104" customHeight="1" s="40">
      <c r="A19" s="4" t="inlineStr">
        <is>
          <t>MR-16</t>
        </is>
      </c>
      <c r="B19" s="4" t="inlineStr">
        <is>
          <t>M-07, M-08, M-10, M-17, M-18; D-06, D-17</t>
        </is>
      </c>
      <c r="C19" s="4" t="inlineStr">
        <is>
          <t>OG-08</t>
        </is>
      </c>
      <c r="D19" s="11" t="inlineStr">
        <is>
          <t>Critical</t>
        </is>
      </c>
      <c r="E19" s="4" t="inlineStr">
        <is>
          <t>Maximo + Daniel</t>
        </is>
      </c>
      <c r="F19" s="4" t="inlineStr">
        <is>
          <t>Issuer-clustered errors ignore common shocks. Heteroskedasticity, cross-sectional dependence, serial autocorrelation and imbalance make inference estimator-sensitive.</t>
        </is>
      </c>
      <c r="G19" s="12" t="inlineStr">
        <is>
          <t>Maximo pp. 3-5; Daniel pp. 2-3</t>
        </is>
      </c>
      <c r="H19" s="4" t="inlineStr">
        <is>
          <t>Agrees / strongly agrees</t>
        </is>
      </c>
      <c r="I19" s="12" t="inlineStr">
        <is>
          <t>24-Sep-2026: Driscoll-Kraay is the least-worst reference estimator. 25-Sep-2026: Martin confirms the PCSE rationale and asks for one results table containing FE with Driscoll-Kraay SE only, excluding the separate conventional FE and PCSE columns.</t>
        </is>
      </c>
      <c r="J19" s="4" t="inlineStr">
        <is>
          <t>Genuine inference correction. DK should anchor all significance claims, while its limitations are stated.</t>
        </is>
      </c>
      <c r="K19" s="4" t="inlineStr">
        <is>
          <t>A - Methodological issue / additional estimation</t>
        </is>
      </c>
      <c r="L19" s="4" t="inlineStr">
        <is>
          <t>Secs. 4.2, 4.6, 4.8, 5.1-5.3; Tables 2-3; Annex 8.10-8.11</t>
        </is>
      </c>
      <c r="M19" s="4" t="inlineStr">
        <is>
          <t>Use bond FE with Driscoll-Kraay as the sole reference inference. Report diagnostics and DK lag/finite-sample setup below the single results table. Remove separate conventional-FE and PCSE columns from the paper/seminar output.</t>
        </is>
      </c>
      <c r="N19" s="4" t="inlineStr">
        <is>
          <t>Full re-estimation / inference reset</t>
        </is>
      </c>
      <c r="O19" s="4" t="inlineStr">
        <is>
          <t>MR-03 and final variable set</t>
        </is>
      </c>
      <c r="P19" s="4" t="inlineStr">
        <is>
          <t>The core output is one FE-Driscoll-Kraay table, diagnostics are visible, and no main result is shown in a separate plain-FE or PCSE column.</t>
        </is>
      </c>
      <c r="Q19" s="4" t="inlineStr">
        <is>
          <t>Yes</t>
        </is>
      </c>
      <c r="R19" s="9" t="inlineStr">
        <is>
          <t>Not started</t>
        </is>
      </c>
      <c r="S19" s="10" t="inlineStr">
        <is>
          <t>PCSE exclusion rationale explicitly accepted by Martin on 25-Sep-2026.</t>
        </is>
      </c>
    </row>
    <row r="20" ht="104" customHeight="1" s="40">
      <c r="A20" s="4" t="inlineStr">
        <is>
          <t>MR-17</t>
        </is>
      </c>
      <c r="B20" s="4" t="inlineStr">
        <is>
          <t>M-09, M-17, M-18; D-06, D-11</t>
        </is>
      </c>
      <c r="C20" s="4" t="inlineStr">
        <is>
          <t>OG-08</t>
        </is>
      </c>
      <c r="D20" s="11" t="inlineStr">
        <is>
          <t>Critical</t>
        </is>
      </c>
      <c r="E20" s="4" t="inlineStr">
        <is>
          <t>Maximo + Daniel</t>
        </is>
      </c>
      <c r="F20" s="4" t="inlineStr">
        <is>
          <t>PCSE coefficients differ from FE even though the thesis presents PCSE as merely another error correction; sign/significance changes need explanation.</t>
        </is>
      </c>
      <c r="G20" s="12" t="inlineStr">
        <is>
          <t>Maximo pp. 3, 5; Daniel p. 2</t>
        </is>
      </c>
      <c r="H20" s="4" t="inlineStr">
        <is>
          <t>Agrees / strongly agrees</t>
        </is>
      </c>
      <c r="I20" s="12" t="inlineStr">
        <is>
          <t>25-Sep-2026: Martin accepts the explanation that the highly unbalanced panel and limited common temporal overlap make the contemporaneous cross-sectional covariance estimate required by PCSE less reliable. PCSE should not appear in the main table.</t>
        </is>
      </c>
      <c r="J20" s="4" t="inlineStr">
        <is>
          <t>The old comparison is internally inconsistent. The code should be audited only to document what was run; the preferred output must not invite a FE-versus-PCSE horse race.</t>
        </is>
      </c>
      <c r="K20" s="4" t="inlineStr">
        <is>
          <t>A - Methodological issue / additional estimation</t>
        </is>
      </c>
      <c r="L20" s="4" t="inlineStr">
        <is>
          <t>Secs. 4.2, 4.6, 4.8, 5.1-5.3; Tables 3 and 7</t>
        </is>
      </c>
      <c r="M20" s="4" t="inlineStr">
        <is>
          <t>Recover the exact PCSE command for the internal audit, document why imbalance/common-overlap weakens its use here, and remove PCSE from the main thesis and seminar table. Retain it, if at all, only in a clearly qualified appendix note.</t>
        </is>
      </c>
      <c r="N20" s="4" t="inlineStr">
        <is>
          <t>Code audit + table redesign</t>
        </is>
      </c>
      <c r="O20" s="4" t="inlineStr">
        <is>
          <t>Original do-file/logs; MR-16</t>
        </is>
      </c>
      <c r="P20" s="4" t="inlineStr">
        <is>
          <t>The response memo states the panel-structure rationale precisely; the main results contain no PCSE column and make no unsupported claim that PCSE is merely an error correction.</t>
        </is>
      </c>
      <c r="Q20" s="4" t="inlineStr">
        <is>
          <t>Yes</t>
        </is>
      </c>
      <c r="R20" s="9" t="inlineStr">
        <is>
          <t>Not started</t>
        </is>
      </c>
      <c r="S20" s="10" t="inlineStr">
        <is>
          <t>Director confirmed the stated reason for discarding PCSE on 25-Sep-2026.</t>
        </is>
      </c>
    </row>
    <row r="21" ht="104" customHeight="1" s="40">
      <c r="A21" s="4" t="inlineStr">
        <is>
          <t>MR-18</t>
        </is>
      </c>
      <c r="B21" s="4" t="inlineStr">
        <is>
          <t>M-16, M-17; A-18 via Martin</t>
        </is>
      </c>
      <c r="C21" s="4" t="inlineStr">
        <is>
          <t>OG-08</t>
        </is>
      </c>
      <c r="D21" s="11" t="inlineStr">
        <is>
          <t>Critical</t>
        </is>
      </c>
      <c r="E21" s="4" t="inlineStr">
        <is>
          <t>Maximo; reinforced by Martin</t>
        </is>
      </c>
      <c r="F21" s="4" t="inlineStr">
        <is>
          <t>The full model does not show how correlated aggregate regressors alter one another. Sequential specifications and correlation diagnostics are required.</t>
        </is>
      </c>
      <c r="G21" s="12" t="inlineStr">
        <is>
          <t>Maximo p. 4; Martin annotations/messages 24-25 Sep-2026; attached four-model table dated 25-Sep-2026</t>
        </is>
      </c>
      <c r="H21" s="4" t="inlineStr">
        <is>
          <t>Agrees / strongly agrees</t>
        </is>
      </c>
      <c r="I21" s="12" t="inlineStr">
        <is>
          <t>25-Sep-2026: prepare one consolidated four-column FE-Driscoll-Kraay table using nominal FED3M Forward, varying the BRL sovereign spread and domestic macro controls, with RER as the requested alternative to NER. 27-Sep: any SELIC 3M Forward columns are referee-only diagnostics and should not be presented as part of the preferred baseline.</t>
        </is>
      </c>
      <c r="J21" s="4" t="inlineStr">
        <is>
          <t>This is now an exact paper/seminar output design rather than a generic robustness request. Two source ambiguities must be confirmed instead of silently resolved: Model 1 marks both NER and RER, and the text asks for sequential stacking while the template includes firm/bond controls in all four columns.</t>
        </is>
      </c>
      <c r="K21" s="4" t="inlineStr">
        <is>
          <t>A - Methodological issue / additional estimation</t>
        </is>
      </c>
      <c r="L21" s="4" t="inlineStr">
        <is>
          <t>Secs. 4.6-4.8, 5.1-5.4; Annex 8.11</t>
        </is>
      </c>
      <c r="M21" s="4" t="inlineStr">
        <is>
          <t>Implement the four core FE-DK columns exactly as documented in the Estimation Plan; use nominal FED3M Forward and exclude the old real construction. Compare sovereign/local-macro combinations and NER/RER; report correlations and coefficient movements. After the core table, run the two SELIC checks only as referee diagnostics if feasible. Confirm the two template ambiguities before final coding.</t>
        </is>
      </c>
      <c r="N21" s="4" t="inlineStr">
        <is>
          <t>Additional estimation + single consolidated table + optional robustness</t>
        </is>
      </c>
      <c r="O21" s="4" t="inlineStr">
        <is>
          <t>MR-01, MR-03, MR-04, MR-16; confirmed model grid</t>
        </is>
      </c>
      <c r="P21" s="4" t="inlineStr">
        <is>
          <t>One pre-specified FE-DK table uses nominal FED3M Forward, documents every included block, reports diagnostics/statistics, and does not silently resolve the NER/RER or stacking ambiguities. Any SELIC columns are clearly separated and labeled referee-only.</t>
        </is>
      </c>
      <c r="Q21" s="4" t="inlineStr">
        <is>
          <t>Yes</t>
        </is>
      </c>
      <c r="R21" s="9" t="inlineStr">
        <is>
          <t>Not started</t>
        </is>
      </c>
      <c r="S21" s="10" t="inlineStr">
        <is>
          <t>Requested target: 30-Sep-2026. See Estimation Plan sheet for the exact grid and unresolved source ambiguities.</t>
        </is>
      </c>
    </row>
    <row r="22" ht="104" customHeight="1" s="40">
      <c r="A22" s="4" t="inlineStr">
        <is>
          <t>MR-19</t>
        </is>
      </c>
      <c r="B22" s="4" t="inlineStr">
        <is>
          <t>M-10, M-18; A-10, A-16; D-06, D-09, D-11, D-12, D-18</t>
        </is>
      </c>
      <c r="C22" s="4" t="inlineStr">
        <is>
          <t>OG-08</t>
        </is>
      </c>
      <c r="D22" s="11" t="inlineStr">
        <is>
          <t>Critical</t>
        </is>
      </c>
      <c r="E22" s="4" t="inlineStr">
        <is>
          <t>Ailin + Maximo + Daniel</t>
        </is>
      </c>
      <c r="F22" s="4" t="inlineStr">
        <is>
          <t>The submitted narrative relies on estimator-sensitive significance. Daniel asks that hypotheses be tied explicitly to final results and counterintuitive signs be explained better.</t>
        </is>
      </c>
      <c r="G22" s="12" t="inlineStr">
        <is>
          <t>Ailin pp. 3-4; Maximo pp. 3-5; Daniel pp. 2-3</t>
        </is>
      </c>
      <c r="H22" s="4" t="inlineStr">
        <is>
          <t>Agrees / strongly agrees</t>
        </is>
      </c>
      <c r="I22" s="12" t="inlineStr">
        <is>
          <t>24-Sep-2026: treat Daniel mainly as an exposition task after the core spread and DK work. Rebuild interpretations only after final estimates.</t>
        </is>
      </c>
      <c r="J22" s="4" t="inlineStr">
        <is>
          <t>Required downstream rewrite, not a separate empirical choice.</t>
        </is>
      </c>
      <c r="K22" s="4" t="inlineStr">
        <is>
          <t>B - Clarification / reframing</t>
        </is>
      </c>
      <c r="L22" s="4" t="inlineStr">
        <is>
          <t>Resumen/Abstract; Secs. 5.2-5.4; Secs. 6.1-6.4; Tables 3 and 7</t>
        </is>
      </c>
      <c r="M22" s="4" t="inlineStr">
        <is>
          <t>After the estimation freeze, classify every hypothesis/result as robust, partial/sensitive, null or unresolved. Explain counterintuitive signs against the final DK sequence and avoid carrying old PCSE/FE claims forward.</t>
        </is>
      </c>
      <c r="N22" s="4" t="inlineStr">
        <is>
          <t>Results/abstract/conclusions rewrite</t>
        </is>
      </c>
      <c r="O22" s="4" t="inlineStr">
        <is>
          <t>MR-01 through MR-18 finalized</t>
        </is>
      </c>
      <c r="P22" s="4" t="inlineStr">
        <is>
          <t>A hypothesis-to-result and table-to-text audit confirms every sign, magnitude and significance statement.</t>
        </is>
      </c>
      <c r="Q22" s="4" t="inlineStr">
        <is>
          <t>Yes</t>
        </is>
      </c>
      <c r="R22" s="9" t="inlineStr">
        <is>
          <t>Not started</t>
        </is>
      </c>
      <c r="S22" s="10" t="n"/>
    </row>
    <row r="23" ht="104" customHeight="1" s="40">
      <c r="A23" s="4" t="inlineStr">
        <is>
          <t>MR-20</t>
        </is>
      </c>
      <c r="B23" s="4" t="inlineStr">
        <is>
          <t>M-11; D-08, D-17</t>
        </is>
      </c>
      <c r="C23" s="4" t="inlineStr">
        <is>
          <t>OG-09</t>
        </is>
      </c>
      <c r="D23" s="15" t="inlineStr">
        <is>
          <t>Low</t>
        </is>
      </c>
      <c r="E23" s="4" t="inlineStr">
        <is>
          <t>Maximo + Daniel</t>
        </is>
      </c>
      <c r="F23" s="4" t="inlineStr">
        <is>
          <t>Persistence, serial correlation and inability to apply standard unit-root tests raise questions about dynamics and stationarity.</t>
        </is>
      </c>
      <c r="G23" s="12" t="inlineStr">
        <is>
          <t>Maximo pp. 3-4; Daniel pp. 2-3</t>
        </is>
      </c>
      <c r="H23" s="4" t="inlineStr">
        <is>
          <t>Disagrees / not endorsed</t>
        </is>
      </c>
      <c r="I23" s="12" t="inlineStr">
        <is>
          <t>Do not convert the thesis to a dynamic panel or add a monthly lagged spread; markets are forward-looking. Acknowledge the limitation and answer it.</t>
        </is>
      </c>
      <c r="J23" s="4" t="inlineStr">
        <is>
          <t>The concern is real, but DK does not solve non-stationarity. A bounded explanation is required; first-difference work remains optional.</t>
        </is>
      </c>
      <c r="K23" s="4" t="inlineStr">
        <is>
          <t>D - Not endorsed / optional / response only</t>
        </is>
      </c>
      <c r="L23" s="4" t="inlineStr">
        <is>
          <t>Sec. 4.6; Sec. 5.1; Annex 8.11</t>
        </is>
      </c>
      <c r="M23" s="4" t="inlineStr">
        <is>
          <t>Explain the static monthly specification, acknowledge persistence/unit-root limits and avoid claiming they are tested away. Keep first-difference robustness optional.</t>
        </is>
      </c>
      <c r="N23" s="4" t="inlineStr">
        <is>
          <t>No mandatory estimation; optional robustness</t>
        </is>
      </c>
      <c r="O23" s="4" t="inlineStr">
        <is>
          <t>MR-16 and MR-25</t>
        </is>
      </c>
      <c r="P23" s="4" t="inlineStr">
        <is>
          <t>The response memo justifies the non-change and the thesis states the limitation accurately.</t>
        </is>
      </c>
      <c r="Q23" s="4" t="inlineStr">
        <is>
          <t>No - response only</t>
        </is>
      </c>
      <c r="R23" s="9" t="inlineStr">
        <is>
          <t>Not started</t>
        </is>
      </c>
      <c r="S23" s="10" t="n"/>
    </row>
    <row r="24" ht="104" customHeight="1" s="40">
      <c r="A24" s="4" t="inlineStr">
        <is>
          <t>MR-21</t>
        </is>
      </c>
      <c r="B24" s="4" t="inlineStr">
        <is>
          <t>M-12</t>
        </is>
      </c>
      <c r="C24" s="4" t="inlineStr">
        <is>
          <t>OG-09</t>
        </is>
      </c>
      <c r="D24" s="16" t="inlineStr">
        <is>
          <t>Medium</t>
        </is>
      </c>
      <c r="E24" s="4" t="inlineStr">
        <is>
          <t>Maximo</t>
        </is>
      </c>
      <c r="F24" s="4" t="inlineStr">
        <is>
          <t>Collin-Dufresne, Goldstein and Martin (2001) is cited to justify levels although it studies spread changes.</t>
        </is>
      </c>
      <c r="G24" s="12" t="inlineStr">
        <is>
          <t>Maximo p. 3</t>
        </is>
      </c>
      <c r="H24" s="4" t="inlineStr">
        <is>
          <t>Agrees / strongly agrees</t>
        </is>
      </c>
      <c r="I24" s="12" t="inlineStr">
        <is>
          <t>24-Sep-2026: bibliography corrections are minor but should be made.</t>
        </is>
      </c>
      <c r="J24" s="4" t="inlineStr">
        <is>
          <t>Valid citation-accuracy correction independent of the model debate.</t>
        </is>
      </c>
      <c r="K24" s="4" t="inlineStr">
        <is>
          <t>C - Presentation / structure / literature / documentation</t>
        </is>
      </c>
      <c r="L24" s="4" t="inlineStr">
        <is>
          <t>Secs. 3.3 and 4.6; References</t>
        </is>
      </c>
      <c r="M24" s="4" t="inlineStr">
        <is>
          <t>Correct the citation and retain only sources that actually support the chosen specification.</t>
        </is>
      </c>
      <c r="N24" s="4" t="inlineStr">
        <is>
          <t>Literature correction</t>
        </is>
      </c>
      <c r="O24" s="4" t="n"/>
      <c r="P24" s="4" t="inlineStr">
        <is>
          <t>The paper is described accurately and no unsupported citation claim remains.</t>
        </is>
      </c>
      <c r="Q24" s="4" t="inlineStr">
        <is>
          <t>Yes</t>
        </is>
      </c>
      <c r="R24" s="9" t="inlineStr">
        <is>
          <t>Not started</t>
        </is>
      </c>
      <c r="S24" s="10" t="n"/>
    </row>
    <row r="25" ht="104" customHeight="1" s="40">
      <c r="A25" s="4" t="inlineStr">
        <is>
          <t>MR-22</t>
        </is>
      </c>
      <c r="B25" s="4" t="inlineStr">
        <is>
          <t>M-13</t>
        </is>
      </c>
      <c r="C25" s="4" t="inlineStr">
        <is>
          <t>OG-10</t>
        </is>
      </c>
      <c r="D25" s="16" t="inlineStr">
        <is>
          <t>Medium</t>
        </is>
      </c>
      <c r="E25" s="4" t="inlineStr">
        <is>
          <t>Maximo</t>
        </is>
      </c>
      <c r="F25" s="4" t="inlineStr">
        <is>
          <t>Debt/GDP is described as significant at 1 percent in text while the DK table reports 5 percent.</t>
        </is>
      </c>
      <c r="G25" s="12" t="inlineStr">
        <is>
          <t>Maximo pp. 3-4</t>
        </is>
      </c>
      <c r="H25" s="4" t="inlineStr">
        <is>
          <t>No explicit position</t>
        </is>
      </c>
      <c r="I25" s="12" t="inlineStr">
        <is>
          <t>Covered by the instruction to rewrite results after final DK estimates.</t>
        </is>
      </c>
      <c r="J25" s="4" t="inlineStr">
        <is>
          <t>Straightforward reporting error.</t>
        </is>
      </c>
      <c r="K25" s="4" t="inlineStr">
        <is>
          <t>C - Presentation / structure / literature / documentation</t>
        </is>
      </c>
      <c r="L25" s="4" t="inlineStr">
        <is>
          <t>Sec. 5.2.2; Table 3; Annex Table 7</t>
        </is>
      </c>
      <c r="M25" s="4" t="inlineStr">
        <is>
          <t>Correct after the final estimation freeze and run a complete table-to-text audit.</t>
        </is>
      </c>
      <c r="N25" s="4" t="inlineStr">
        <is>
          <t>Text correction</t>
        </is>
      </c>
      <c r="O25" s="4" t="inlineStr">
        <is>
          <t>MR-19</t>
        </is>
      </c>
      <c r="P25" s="4" t="inlineStr">
        <is>
          <t>Text and table match exactly.</t>
        </is>
      </c>
      <c r="Q25" s="4" t="inlineStr">
        <is>
          <t>Yes</t>
        </is>
      </c>
      <c r="R25" s="9" t="inlineStr">
        <is>
          <t>Not started</t>
        </is>
      </c>
      <c r="S25" s="10" t="n"/>
    </row>
    <row r="26" ht="104" customHeight="1" s="40">
      <c r="A26" s="4" t="inlineStr">
        <is>
          <t>MR-23</t>
        </is>
      </c>
      <c r="B26" s="4" t="inlineStr">
        <is>
          <t>M-14</t>
        </is>
      </c>
      <c r="C26" s="4" t="inlineStr">
        <is>
          <t>OG-10</t>
        </is>
      </c>
      <c r="D26" s="16" t="inlineStr">
        <is>
          <t>Medium</t>
        </is>
      </c>
      <c r="E26" s="4" t="inlineStr">
        <is>
          <t>Maximo</t>
        </is>
      </c>
      <c r="F26" s="4" t="inlineStr">
        <is>
          <t>The thesis says PCSE corrects serial correlation, which is not necessarily true without an explicit autoregressive transformation.</t>
        </is>
      </c>
      <c r="G26" s="12" t="inlineStr">
        <is>
          <t>Maximo p. 4</t>
        </is>
      </c>
      <c r="H26" s="4" t="inlineStr">
        <is>
          <t>Agrees / strongly agrees</t>
        </is>
      </c>
      <c r="I26" s="12" t="inlineStr">
        <is>
          <t>Remove PCSE from the main thesis and seminar; delete the unsupported claim.</t>
        </is>
      </c>
      <c r="J26" s="4" t="inlineStr">
        <is>
          <t>Valid technical correction.</t>
        </is>
      </c>
      <c r="K26" s="4" t="inlineStr">
        <is>
          <t>C - Presentation / structure / literature / documentation</t>
        </is>
      </c>
      <c r="L26" s="4" t="inlineStr">
        <is>
          <t>Secs. 4.8, 5.1; Annex 8.10.4</t>
        </is>
      </c>
      <c r="M26" s="4" t="inlineStr">
        <is>
          <t>Delete the claim; if PCSE remains in an appendix, state the exact correlation structure and limitations.</t>
        </is>
      </c>
      <c r="N26" s="4" t="inlineStr">
        <is>
          <t>Technical text correction</t>
        </is>
      </c>
      <c r="O26" s="4" t="inlineStr">
        <is>
          <t>MR-17</t>
        </is>
      </c>
      <c r="P26" s="4" t="inlineStr">
        <is>
          <t>No unsupported PCSE statement remains.</t>
        </is>
      </c>
      <c r="Q26" s="4" t="inlineStr">
        <is>
          <t>Yes</t>
        </is>
      </c>
      <c r="R26" s="9" t="inlineStr">
        <is>
          <t>Not started</t>
        </is>
      </c>
      <c r="S26" s="10" t="n"/>
    </row>
    <row r="27" ht="104" customHeight="1" s="40">
      <c r="A27" s="4" t="inlineStr">
        <is>
          <t>MR-24</t>
        </is>
      </c>
      <c r="B27" s="4" t="inlineStr">
        <is>
          <t>M-15</t>
        </is>
      </c>
      <c r="C27" s="4" t="inlineStr">
        <is>
          <t>OG-10</t>
        </is>
      </c>
      <c r="D27" s="13" t="inlineStr">
        <is>
          <t>High</t>
        </is>
      </c>
      <c r="E27" s="4" t="inlineStr">
        <is>
          <t>Maximo</t>
        </is>
      </c>
      <c r="F27" s="4" t="inlineStr">
        <is>
          <t>The main regression table omits standard errors and N.</t>
        </is>
      </c>
      <c r="G27" s="12" t="inlineStr">
        <is>
          <t>Maximo p. 4</t>
        </is>
      </c>
      <c r="H27" s="4" t="inlineStr">
        <is>
          <t>Agrees / strongly agrees</t>
        </is>
      </c>
      <c r="I27" s="12" t="inlineStr">
        <is>
          <t>25-Sep-2026: the director-provided table explicitly requests Within R-squared and rho under each of the four FE-DK models. Existing matrix requirements for SE, N, panel dimensions and DK metadata remain.</t>
        </is>
      </c>
      <c r="J27" s="4" t="inlineStr">
        <is>
          <t>Essential reporting standard.</t>
        </is>
      </c>
      <c r="K27" s="4" t="inlineStr">
        <is>
          <t>C - Presentation / structure / literature / documentation</t>
        </is>
      </c>
      <c r="L27" s="4" t="inlineStr">
        <is>
          <t>Table 3; Annex Table 7; table notes</t>
        </is>
      </c>
      <c r="M27" s="4" t="inlineStr">
        <is>
          <t>Build one consolidated FE-DK table reporting coefficient, standard error, N, bonds, issuers, months, within R2, rho, FE type, DK lag, units and significance legend; place diagnostic-test information immediately below or in a linked panel.</t>
        </is>
      </c>
      <c r="N27" s="4" t="inlineStr">
        <is>
          <t>Table redesign</t>
        </is>
      </c>
      <c r="O27" s="4" t="inlineStr">
        <is>
          <t>MR-16 and MR-18</t>
        </is>
      </c>
      <c r="P27" s="4" t="inlineStr">
        <is>
          <t>A reader can evaluate every coefficient and model statistic in the single consolidated table and compare specifications directly.</t>
        </is>
      </c>
      <c r="Q27" s="4" t="inlineStr">
        <is>
          <t>Yes</t>
        </is>
      </c>
      <c r="R27" s="9" t="inlineStr">
        <is>
          <t>Not started</t>
        </is>
      </c>
      <c r="S27" s="10" t="inlineStr">
        <is>
          <t>The attached 25-Sep template names Within R-squared and rho explicitly.</t>
        </is>
      </c>
    </row>
    <row r="28" ht="104" customHeight="1" s="40">
      <c r="A28" s="4" t="inlineStr">
        <is>
          <t>MR-25</t>
        </is>
      </c>
      <c r="B28" s="4" t="inlineStr">
        <is>
          <t>A-10, A-12; M-11, M-16</t>
        </is>
      </c>
      <c r="C28" s="4" t="inlineStr">
        <is>
          <t>OG-11</t>
        </is>
      </c>
      <c r="D28" s="13" t="inlineStr">
        <is>
          <t>High</t>
        </is>
      </c>
      <c r="E28" s="4" t="inlineStr">
        <is>
          <t>Ailin + Maximo</t>
        </is>
      </c>
      <c r="F28" s="4" t="inlineStr">
        <is>
          <t>Stale or lagged OTC quotes may mechanically compress measured spreads when the liquid reference curve moves quickly.</t>
        </is>
      </c>
      <c r="G28" s="12" t="inlineStr">
        <is>
          <t>Ailin pp. 3, 5-6; Maximo pp. 3-4</t>
        </is>
      </c>
      <c r="H28" s="4" t="inlineStr">
        <is>
          <t>Partially agrees</t>
        </is>
      </c>
      <c r="I28" s="12" t="inlineStr">
        <is>
          <t>Add the literature and a bounded diagnostic if feasible; do not present flight-to-quality as the only explanation.</t>
        </is>
      </c>
      <c r="J28" s="4" t="inlineStr">
        <is>
          <t>Serious measurement limitation in an OTC setting.</t>
        </is>
      </c>
      <c r="K28" s="4" t="inlineStr">
        <is>
          <t>B - Clarification / reframing</t>
        </is>
      </c>
      <c r="L28" s="4" t="inlineStr">
        <is>
          <t>Secs. 2.1.1, 4.5.2, 4.6, 5.2.1, 5.2.3, 6.1-6.3; Annex 8.2 and 8.5</t>
        </is>
      </c>
      <c r="M28" s="4" t="inlineStr">
        <is>
          <t>Add the limitation and one feasible lead-lag/liquidity/source-stability diagnostic where possible.</t>
        </is>
      </c>
      <c r="N28" s="4" t="inlineStr">
        <is>
          <t>Text + optional diagnostic estimation</t>
        </is>
      </c>
      <c r="O28" s="4" t="inlineStr">
        <is>
          <t>MR-03, source fields, MR-16</t>
        </is>
      </c>
      <c r="P28" s="4" t="inlineStr">
        <is>
          <t>Stale pricing is treated as a competing mechanism and any available diagnostic is reported.</t>
        </is>
      </c>
      <c r="Q28" s="4" t="inlineStr">
        <is>
          <t>Yes - minimum scope</t>
        </is>
      </c>
      <c r="R28" s="9" t="inlineStr">
        <is>
          <t>Not started</t>
        </is>
      </c>
      <c r="S28" s="10" t="n"/>
    </row>
    <row r="29" ht="104" customHeight="1" s="40">
      <c r="A29" s="4" t="inlineStr">
        <is>
          <t>MR-26</t>
        </is>
      </c>
      <c r="B29" s="4" t="inlineStr">
        <is>
          <t>A-10, A-11, A-16; M-16, M-18</t>
        </is>
      </c>
      <c r="C29" s="4" t="inlineStr">
        <is>
          <t>OG-11</t>
        </is>
      </c>
      <c r="D29" s="13" t="inlineStr">
        <is>
          <t>High</t>
        </is>
      </c>
      <c r="E29" s="4" t="inlineStr">
        <is>
          <t>Ailin + Maximo</t>
        </is>
      </c>
      <c r="F29" s="4" t="inlineStr">
        <is>
          <t>Unexpected signs are discussed with generic emerging-market narratives rather than Brazil-specific institutions.</t>
        </is>
      </c>
      <c r="G29" s="12" t="inlineStr">
        <is>
          <t>Ailin pp. 3-4; Maximo pp. 4-5</t>
        </is>
      </c>
      <c r="H29" s="4" t="inlineStr">
        <is>
          <t>Agrees / strongly agrees</t>
        </is>
      </c>
      <c r="I29" s="12" t="inlineStr">
        <is>
          <t>Use Selic/DI/IPCA structure, institutional investors, indexed liabilities and Law 12.431 in interpretation. 25-Sep-2026: Martin reports nominal and real exchange rates give almost the same result/significance; RER remains meaningful as a relative price. 27-Sep: the local reference curve already embeds SELIC at the short end; any direct SELIC 3M Forward regression is only a referee diagnostic.</t>
        </is>
      </c>
      <c r="J29" s="4" t="inlineStr">
        <is>
          <t>Valid reframing; mechanisms must be distinguished from tested evidence.</t>
        </is>
      </c>
      <c r="K29" s="4" t="inlineStr">
        <is>
          <t>B - Clarification / reframing</t>
        </is>
      </c>
      <c r="L29" s="4" t="inlineStr">
        <is>
          <t>Secs. 2.1.1, 3.1, 5.2.1, 5.2.3, 5.4, 6.1-6.3; Glossary</t>
        </is>
      </c>
      <c r="M29" s="4" t="inlineStr">
        <is>
          <t>Rewrite mechanisms around Brazilian real-rate institutions, distinguish evidence from plausible channels, and explain the RER robustness as a relative-price channel. Do not add SELIC mechanically to the baseline or reintroduce inflation without a clear identification role.</t>
        </is>
      </c>
      <c r="N29" s="4" t="inlineStr">
        <is>
          <t>Interpretation rewrite</t>
        </is>
      </c>
      <c r="O29" s="4" t="inlineStr">
        <is>
          <t>MR-01, MR-04, MR-06/07, MR-19, MR-25</t>
        </is>
      </c>
      <c r="P29" s="4" t="inlineStr">
        <is>
          <t>Every counterintuitive sign has a Brazil-specific but appropriately qualified interpretation.</t>
        </is>
      </c>
      <c r="Q29" s="4" t="inlineStr">
        <is>
          <t>Yes</t>
        </is>
      </c>
      <c r="R29" s="9" t="inlineStr">
        <is>
          <t>Not started</t>
        </is>
      </c>
      <c r="S29" s="10" t="inlineStr">
        <is>
          <t>NER/RER similarity is a reported director observation to verify in the regenerated estimates.</t>
        </is>
      </c>
    </row>
    <row r="30" ht="104" customHeight="1" s="40">
      <c r="A30" s="4" t="inlineStr">
        <is>
          <t>MR-27</t>
        </is>
      </c>
      <c r="B30" s="4" t="inlineStr">
        <is>
          <t>A-08, A-09</t>
        </is>
      </c>
      <c r="C30" s="4" t="inlineStr">
        <is>
          <t>OG-12</t>
        </is>
      </c>
      <c r="D30" s="11" t="inlineStr">
        <is>
          <t>Critical</t>
        </is>
      </c>
      <c r="E30" s="4" t="inlineStr">
        <is>
          <t>Ailin</t>
        </is>
      </c>
      <c r="F30" s="4" t="inlineStr">
        <is>
          <t>The thesis lacks a complete computational replication package, including source consolidation, queries, dates, code and Nelson-Siegel settings.</t>
        </is>
      </c>
      <c r="G30" s="12" t="inlineStr">
        <is>
          <t>Ailin p. 2, p. 10, M7</t>
        </is>
      </c>
      <c r="H30" s="4" t="inlineStr">
        <is>
          <t>Agrees / strongly agrees</t>
        </is>
      </c>
      <c r="I30" s="12" t="inlineStr">
        <is>
          <t>Deliver the complete package, subject to data licensing.</t>
        </is>
      </c>
      <c r="J30" s="4" t="inlineStr">
        <is>
          <t>Mandatory submission deliverable.</t>
        </is>
      </c>
      <c r="K30" s="4" t="inlineStr">
        <is>
          <t>C - Presentation / structure / literature / documentation</t>
        </is>
      </c>
      <c r="L30" s="4" t="inlineStr">
        <is>
          <t>Secs. 4.4-4.5; Annex 8.1-8.14</t>
        </is>
      </c>
      <c r="M30" s="4" t="inlineStr">
        <is>
          <t>Create README, environment, ordered scripts, queries, extraction dates, hashes, OTC source rules, missing/outlier treatment, accounting timing and curve-estimation settings. Clean-run all outputs.</t>
        </is>
      </c>
      <c r="N30" s="4" t="inlineStr">
        <is>
          <t>Replication package / documentation</t>
        </is>
      </c>
      <c r="O30" s="4" t="inlineStr">
        <is>
          <t>Final code and outputs</t>
        </is>
      </c>
      <c r="P30" s="4" t="inlineStr">
        <is>
          <t>A clean run regenerates every permitted table and figure.</t>
        </is>
      </c>
      <c r="Q30" s="4" t="inlineStr">
        <is>
          <t>Yes</t>
        </is>
      </c>
      <c r="R30" s="9" t="inlineStr">
        <is>
          <t>Not started</t>
        </is>
      </c>
      <c r="S30" s="10" t="n"/>
    </row>
    <row r="31" ht="104" customHeight="1" s="40">
      <c r="A31" s="4" t="inlineStr">
        <is>
          <t>MR-28</t>
        </is>
      </c>
      <c r="B31" s="4" t="inlineStr">
        <is>
          <t>A-08</t>
        </is>
      </c>
      <c r="C31" s="4" t="inlineStr">
        <is>
          <t>OG-12</t>
        </is>
      </c>
      <c r="D31" s="16" t="inlineStr">
        <is>
          <t>Medium</t>
        </is>
      </c>
      <c r="E31" s="4" t="inlineStr">
        <is>
          <t>Ailin</t>
        </is>
      </c>
      <c r="F31" s="4" t="inlineStr">
        <is>
          <t>Bloomberg is sometimes described as the original source where it is an access vendor or aggregator.</t>
        </is>
      </c>
      <c r="G31" s="12" t="inlineStr">
        <is>
          <t>Ailin p. 2</t>
        </is>
      </c>
      <c r="H31" s="4" t="inlineStr">
        <is>
          <t>No explicit position</t>
        </is>
      </c>
      <c r="I31" s="12" t="inlineStr">
        <is>
          <t>Covered within the broader replication package.</t>
        </is>
      </c>
      <c r="J31" s="4" t="inlineStr">
        <is>
          <t>Valid provenance issue.</t>
        </is>
      </c>
      <c r="K31" s="4" t="inlineStr">
        <is>
          <t>C - Presentation / structure / literature / documentation</t>
        </is>
      </c>
      <c r="L31" s="4" t="inlineStr">
        <is>
          <t>Secs. 2.1.1, 4.5.2-4.5.3; figure notes; References; Annex A</t>
        </is>
      </c>
      <c r="M31" s="4" t="inlineStr">
        <is>
          <t>Create a data dictionary separating original producer, access channel, ticker/query, field, frequency, transformation and extraction date.</t>
        </is>
      </c>
      <c r="N31" s="4" t="inlineStr">
        <is>
          <t>Source and documentation revision</t>
        </is>
      </c>
      <c r="O31" s="4" t="inlineStr">
        <is>
          <t>MR-27</t>
        </is>
      </c>
      <c r="P31" s="4" t="inlineStr">
        <is>
          <t>Every variable and figure has a traceable provenance chain.</t>
        </is>
      </c>
      <c r="Q31" s="4" t="inlineStr">
        <is>
          <t>Yes</t>
        </is>
      </c>
      <c r="R31" s="9" t="inlineStr">
        <is>
          <t>Not started</t>
        </is>
      </c>
      <c r="S31" s="10" t="n"/>
    </row>
    <row r="32" ht="104" customHeight="1" s="40">
      <c r="A32" s="4" t="inlineStr">
        <is>
          <t>MR-29</t>
        </is>
      </c>
      <c r="B32" s="4" t="inlineStr">
        <is>
          <t>A-15</t>
        </is>
      </c>
      <c r="C32" s="4" t="inlineStr">
        <is>
          <t>OG-13</t>
        </is>
      </c>
      <c r="D32" s="15" t="inlineStr">
        <is>
          <t>Low</t>
        </is>
      </c>
      <c r="E32" s="4" t="inlineStr">
        <is>
          <t>Ailin</t>
        </is>
      </c>
      <c r="F32" s="4" t="inlineStr">
        <is>
          <t>Build a new sovereign-versus-corporate breakeven analysis including synthetic fixed-rate equivalents for CDI-linked debentures.</t>
        </is>
      </c>
      <c r="G32" s="12" t="inlineStr">
        <is>
          <t>Ailin pp. 8-10, M6</t>
        </is>
      </c>
      <c r="H32" s="4" t="inlineStr">
        <is>
          <t>Disagrees / not endorsed</t>
        </is>
      </c>
      <c r="I32" s="12" t="inlineStr">
        <is>
          <t>This is a separate research project; the thesis must have a bounded end.</t>
        </is>
      </c>
      <c r="J32" s="4" t="inlineStr">
        <is>
          <t>Not proportionate to the current TFM revision.</t>
        </is>
      </c>
      <c r="K32" s="4" t="inlineStr">
        <is>
          <t>D - Not endorsed / optional / response only</t>
        </is>
      </c>
      <c r="L32" s="4" t="inlineStr">
        <is>
          <t>Would require major new material beyond Secs. 4-6 and Annex A</t>
        </is>
      </c>
      <c r="M32" s="4" t="inlineStr">
        <is>
          <t>Do not add the full exercise. Mention it as a future research extension and explain scope in the response memo.</t>
        </is>
      </c>
      <c r="N32" s="4" t="inlineStr">
        <is>
          <t>No thesis modification beyond future research</t>
        </is>
      </c>
      <c r="O32" s="4" t="n"/>
      <c r="P32" s="4" t="inlineStr">
        <is>
          <t>Future-research paragraph captures the idea without implying it was estimated.</t>
        </is>
      </c>
      <c r="Q32" s="4" t="inlineStr">
        <is>
          <t>No - response only</t>
        </is>
      </c>
      <c r="R32" s="9" t="inlineStr">
        <is>
          <t>Not started</t>
        </is>
      </c>
      <c r="S32" s="10" t="n"/>
    </row>
    <row r="33" ht="104" customHeight="1" s="40">
      <c r="A33" s="4" t="inlineStr">
        <is>
          <t>MR-30</t>
        </is>
      </c>
      <c r="B33" s="4" t="inlineStr">
        <is>
          <t>A-10, A-11, A-16, A-18; M-10, M-16, M-18; D-01, D-04, D-09, D-10, D-12, D-13, D-16, D-18</t>
        </is>
      </c>
      <c r="C33" s="4" t="inlineStr">
        <is>
          <t>OG-11</t>
        </is>
      </c>
      <c r="D33" s="11" t="inlineStr">
        <is>
          <t>Critical</t>
        </is>
      </c>
      <c r="E33" s="4" t="inlineStr">
        <is>
          <t>Ailin + Maximo + Daniel</t>
        </is>
      </c>
      <c r="F33" s="4" t="inlineStr">
        <is>
          <t>The abstract, results and conclusions over-center anomalous signs and imply broader hypothesis confirmation than the estimator sensitivity supports.</t>
        </is>
      </c>
      <c r="G33" s="12" t="inlineStr">
        <is>
          <t>Ailin pp. 3-4; Maximo pp. 3-5; Daniel pp. 1-3</t>
        </is>
      </c>
      <c r="H33" s="4" t="inlineStr">
        <is>
          <t>Agrees / strongly agrees</t>
        </is>
      </c>
      <c r="I33" s="12" t="inlineStr">
        <is>
          <t>24-Sep-2026: Daniel is less substantial, but his main expositional requests are valid: link hypotheses to results and explain counterintuitive signs. For seminars emphasize external versus internal factors and show only the final DK evidence.</t>
        </is>
      </c>
      <c r="J33" s="4" t="inlineStr">
        <is>
          <t>Final synthesis task after empirical freeze.</t>
        </is>
      </c>
      <c r="K33" s="4" t="inlineStr">
        <is>
          <t>B - Clarification / reframing</t>
        </is>
      </c>
      <c r="L33" s="4" t="inlineStr">
        <is>
          <t>Resumen/Abstract; Introduction; Secs. 5.2-5.4 and 6.1-6.4; defense/seminar deck</t>
        </is>
      </c>
      <c r="M33" s="4" t="inlineStr">
        <is>
          <t>Rewrite around a robust/partial/null/unresolved hierarchy; add a hypothesis scorecard; emphasize external versus internal determinants; explain scoped non-changes and future extensions.</t>
        </is>
      </c>
      <c r="N33" s="4" t="inlineStr">
        <is>
          <t>Full narrative rewrite + response memo</t>
        </is>
      </c>
      <c r="O33" s="4" t="inlineStr">
        <is>
          <t>All empirical and literature revisions complete</t>
        </is>
      </c>
      <c r="P33" s="4" t="inlineStr">
        <is>
          <t>Thesis, response memo and seminar deck classify each hypothesis consistently and do not overstate results.</t>
        </is>
      </c>
      <c r="Q33" s="4" t="inlineStr">
        <is>
          <t>Yes</t>
        </is>
      </c>
      <c r="R33" s="9" t="inlineStr">
        <is>
          <t>Not started</t>
        </is>
      </c>
      <c r="S33" s="10" t="n"/>
    </row>
    <row r="34" ht="104" customHeight="1" s="40">
      <c r="A34" s="4" t="inlineStr">
        <is>
          <t>MR-31</t>
        </is>
      </c>
      <c r="B34" s="4" t="inlineStr">
        <is>
          <t>D-01, D-02, D-13, D-16</t>
        </is>
      </c>
      <c r="C34" s="4" t="inlineStr">
        <is>
          <t>OG-14</t>
        </is>
      </c>
      <c r="D34" s="13" t="inlineStr">
        <is>
          <t>High</t>
        </is>
      </c>
      <c r="E34" s="4" t="inlineStr">
        <is>
          <t>Daniel</t>
        </is>
      </c>
      <c r="F34" s="4" t="inlineStr">
        <is>
          <t>The research gap and originality are asserted more than demonstrated, and three broad questions obscure the central contribution.</t>
        </is>
      </c>
      <c r="G34" s="12" t="inlineStr">
        <is>
          <t>Daniel pp. 1-3</t>
        </is>
      </c>
      <c r="H34" s="4" t="inlineStr">
        <is>
          <t>Partially agrees</t>
        </is>
      </c>
      <c r="I34" s="12" t="inlineStr">
        <is>
          <t>24-Sep-2026: Martin reads Daniel as less substantial than Ailin and Maximo. Address this as a selective exposition improvement after the spread and estimator issues, not as a redesign.</t>
        </is>
      </c>
      <c r="J34" s="4" t="inlineStr">
        <is>
          <t>Valid framing correction; final wording should match the revised evidence.</t>
        </is>
      </c>
      <c r="K34" s="4" t="inlineStr">
        <is>
          <t>B - Clarification / reframing</t>
        </is>
      </c>
      <c r="L34" s="4" t="inlineStr">
        <is>
          <t>Resumen/Abstract; Introduction; literature/framework; Sec. 6; defense/PPT</t>
        </is>
      </c>
      <c r="M34" s="4" t="inlineStr">
        <is>
          <t>State one primary question, subordinate secondary questions, and demonstrate the contribution against the closest empirical studies. Link data, curve and empirical design to concrete contributions.</t>
        </is>
      </c>
      <c r="N34" s="4" t="inlineStr">
        <is>
          <t>Introduction/contribution rewrite</t>
        </is>
      </c>
      <c r="O34" s="4" t="inlineStr">
        <is>
          <t>Final results; MR-30 and MR-34</t>
        </is>
      </c>
      <c r="P34" s="4" t="inlineStr">
        <is>
          <t>One central question and two or three evidence-backed contributions are stated clearly.</t>
        </is>
      </c>
      <c r="Q34" s="4" t="inlineStr">
        <is>
          <t>Yes</t>
        </is>
      </c>
      <c r="R34" s="9" t="inlineStr">
        <is>
          <t>Not started</t>
        </is>
      </c>
      <c r="S34" s="10" t="inlineStr">
        <is>
          <t>Secondary to Maximo-driven measurement and estimator work.</t>
        </is>
      </c>
    </row>
    <row r="35" ht="104" customHeight="1" s="40">
      <c r="A35" s="4" t="inlineStr">
        <is>
          <t>MR-32</t>
        </is>
      </c>
      <c r="B35" s="4" t="inlineStr">
        <is>
          <t>D-03, D-04, D-18</t>
        </is>
      </c>
      <c r="C35" s="4" t="inlineStr">
        <is>
          <t>OG-14</t>
        </is>
      </c>
      <c r="D35" s="13" t="inlineStr">
        <is>
          <t>High</t>
        </is>
      </c>
      <c r="E35" s="4" t="inlineStr">
        <is>
          <t>Daniel</t>
        </is>
      </c>
      <c r="F35" s="4" t="inlineStr">
        <is>
          <t>The theoretical framework is descriptive; nine hypotheses may exceed the identifying capacity of one panel and some proxies are contestable.</t>
        </is>
      </c>
      <c r="G35" s="12" t="inlineStr">
        <is>
          <t>Daniel pp. 1, 3</t>
        </is>
      </c>
      <c r="H35" s="4" t="inlineStr">
        <is>
          <t>Partially agrees</t>
        </is>
      </c>
      <c r="I35" s="12" t="inlineStr">
        <is>
          <t>Keep the paper empirical. Rationalize the theory-to-variable chain and link hypotheses to final results without a structural-theory redesign.</t>
        </is>
      </c>
      <c r="J35" s="4" t="inlineStr">
        <is>
          <t>The issue is sharper architecture, not more theory.</t>
        </is>
      </c>
      <c r="K35" s="4" t="inlineStr">
        <is>
          <t>C - Presentation / structure / literature / documentation</t>
        </is>
      </c>
      <c r="L35" s="4" t="inlineStr">
        <is>
          <t>Sec. 3; Sec. 4.1; variable definitions; results and defense</t>
        </is>
      </c>
      <c r="M35" s="4" t="inlineStr">
        <is>
          <t>Create a construct-to-proxy table; designate core versus secondary hypotheses; produce a final supported/partial/not-confirmed scorecard.</t>
        </is>
      </c>
      <c r="N35" s="4" t="inlineStr">
        <is>
          <t>Theory-to-specification mapping</t>
        </is>
      </c>
      <c r="O35" s="4" t="inlineStr">
        <is>
          <t>Final variable definitions; MR-11, MR-19, MR-30</t>
        </is>
      </c>
      <c r="P35" s="4" t="inlineStr">
        <is>
          <t>Every retained hypothesis has a defensible proxy and maps to a final result.</t>
        </is>
      </c>
      <c r="Q35" s="4" t="inlineStr">
        <is>
          <t>Yes</t>
        </is>
      </c>
      <c r="R35" s="9" t="inlineStr">
        <is>
          <t>Not started</t>
        </is>
      </c>
      <c r="S35" s="10" t="n"/>
    </row>
    <row r="36" ht="104" customHeight="1" s="40">
      <c r="A36" s="4" t="inlineStr">
        <is>
          <t>MR-33</t>
        </is>
      </c>
      <c r="B36" s="4" t="inlineStr">
        <is>
          <t>D-14</t>
        </is>
      </c>
      <c r="C36" s="4" t="inlineStr">
        <is>
          <t>OG-15</t>
        </is>
      </c>
      <c r="D36" s="16" t="inlineStr">
        <is>
          <t>Medium</t>
        </is>
      </c>
      <c r="E36" s="4" t="inlineStr">
        <is>
          <t>Daniel</t>
        </is>
      </c>
      <c r="F36" s="4" t="inlineStr">
        <is>
          <t>A final academic-language and consistency review is needed for causal wording, econometric phrasing, repetition and multilingual terminology.</t>
        </is>
      </c>
      <c r="G36" s="12" t="inlineStr">
        <is>
          <t>Daniel p. 2</t>
        </is>
      </c>
      <c r="H36" s="4" t="inlineStr">
        <is>
          <t>Partially agrees</t>
        </is>
      </c>
      <c r="I36" s="12" t="inlineStr">
        <is>
          <t>Treat as a minor final-stage correction after all estimates and tables are frozen.</t>
        </is>
      </c>
      <c r="J36" s="4" t="inlineStr">
        <is>
          <t>Low methodological risk but worthwhile for submission quality.</t>
        </is>
      </c>
      <c r="K36" s="4" t="inlineStr">
        <is>
          <t>C - Presentation / structure / literature / documentation</t>
        </is>
      </c>
      <c r="L36" s="4" t="inlineStr">
        <is>
          <t>Entire thesis</t>
        </is>
      </c>
      <c r="M36" s="4" t="inlineStr">
        <is>
          <t>Run a controlled final terminology, language, acronym, table-text and cross-reference QA pass.</t>
        </is>
      </c>
      <c r="N36" s="4" t="inlineStr">
        <is>
          <t>Final copy-edit / QA</t>
        </is>
      </c>
      <c r="O36" s="4" t="inlineStr">
        <is>
          <t>All empirical outputs and narrative revisions complete</t>
        </is>
      </c>
      <c r="P36" s="4" t="inlineStr">
        <is>
          <t>No inconsistent variable names, undefined acronyms, causal overclaims or table-text mismatch remain.</t>
        </is>
      </c>
      <c r="Q36" s="4" t="inlineStr">
        <is>
          <t>Yes</t>
        </is>
      </c>
      <c r="R36" s="9" t="inlineStr">
        <is>
          <t>Not started</t>
        </is>
      </c>
      <c r="S36" s="10" t="n"/>
    </row>
    <row r="37" ht="104" customHeight="1" s="40">
      <c r="A37" s="4" t="inlineStr">
        <is>
          <t>MR-34</t>
        </is>
      </c>
      <c r="B37" s="4" t="inlineStr">
        <is>
          <t>D-15</t>
        </is>
      </c>
      <c r="C37" s="4" t="inlineStr">
        <is>
          <t>OG-16</t>
        </is>
      </c>
      <c r="D37" s="16" t="inlineStr">
        <is>
          <t>Medium</t>
        </is>
      </c>
      <c r="E37" s="4" t="inlineStr">
        <is>
          <t>Daniel</t>
        </is>
      </c>
      <c r="F37" s="4" t="inlineStr">
        <is>
          <t>The literature review should be more critical and current; bibliometrics do not replace direct comparison with comparable empirical work.</t>
        </is>
      </c>
      <c r="G37" s="12" t="inlineStr">
        <is>
          <t>Daniel pp. 2-3</t>
        </is>
      </c>
      <c r="H37" s="4" t="inlineStr">
        <is>
          <t>Partially agrees</t>
        </is>
      </c>
      <c r="I37" s="12" t="inlineStr">
        <is>
          <t>24-Sep-2026: bibliography issues are minor. Make bounded, purpose-driven updates; do not turn the thesis into a new survey.</t>
        </is>
      </c>
      <c r="J37" s="4" t="inlineStr">
        <is>
          <t>Efficient remedy is a direct comparison tied to data, benchmark, estimator, identification and findings.</t>
        </is>
      </c>
      <c r="K37" s="4" t="inlineStr">
        <is>
          <t>C - Presentation / structure / literature / documentation</t>
        </is>
      </c>
      <c r="L37" s="4" t="inlineStr">
        <is>
          <t>Literature review; methods justification; introduction contribution; bibliography; defense</t>
        </is>
      </c>
      <c r="M37" s="4" t="inlineStr">
        <is>
          <t>Add a compact closest-study comparison and recent method references directly supporting DK, local-currency debt and macrofinance identification.</t>
        </is>
      </c>
      <c r="N37" s="4" t="inlineStr">
        <is>
          <t>Targeted literature review</t>
        </is>
      </c>
      <c r="O37" s="4" t="inlineStr">
        <is>
          <t>MR-11, MR-31, MR-32; final method choice</t>
        </is>
      </c>
      <c r="P37" s="4" t="inlineStr">
        <is>
          <t>Closest studies are compared critically and new citations support actual model choices.</t>
        </is>
      </c>
      <c r="Q37" s="4" t="inlineStr">
        <is>
          <t>Yes</t>
        </is>
      </c>
      <c r="R37" s="9" t="inlineStr">
        <is>
          <t>Not started</t>
        </is>
      </c>
      <c r="S37" s="10" t="n"/>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G57"/>
  <sheetViews>
    <sheetView showGridLines="0" workbookViewId="0">
      <selection activeCell="A1" sqref="A1"/>
    </sheetView>
  </sheetViews>
  <sheetFormatPr baseColWidth="8" defaultRowHeight="14.5"/>
  <cols>
    <col width="10" customWidth="1" style="40" min="1" max="1"/>
    <col width="13" customWidth="1" style="40" min="2" max="2"/>
    <col width="24" customWidth="1" style="40" min="3" max="3"/>
    <col width="58" customWidth="1" style="40" min="4" max="4"/>
    <col width="30" customWidth="1" style="40" min="5" max="5"/>
    <col width="22" customWidth="1" style="40" min="6" max="6"/>
    <col width="50" customWidth="1" style="40" min="7" max="7"/>
  </cols>
  <sheetData>
    <row r="1" ht="26" customHeight="1" s="40">
      <c r="A1" s="45" t="inlineStr">
        <is>
          <t>Juror-by-Juror Source Log</t>
        </is>
      </c>
    </row>
    <row r="2" ht="34" customHeight="1" s="40">
      <c r="A2" s="48" t="inlineStr">
        <is>
          <t>Traceability sheet: every distinct criticism from all three reports maps to one or more consolidated master issues. Daniel dispositions reflect Martin's review on 24-Sep-2026.</t>
        </is>
      </c>
    </row>
    <row r="3" ht="34" customHeight="1" s="40">
      <c r="A3" s="3" t="inlineStr">
        <is>
          <t>Source ID</t>
        </is>
      </c>
      <c r="B3" s="3" t="inlineStr">
        <is>
          <t>Juror</t>
        </is>
      </c>
      <c r="C3" s="3" t="inlineStr">
        <is>
          <t>Report location</t>
        </is>
      </c>
      <c r="D3" s="3" t="inlineStr">
        <is>
          <t>Original criticism - concise</t>
        </is>
      </c>
      <c r="E3" s="3" t="inlineStr">
        <is>
          <t>Master issue ID(s)</t>
        </is>
      </c>
      <c r="F3" s="3" t="inlineStr">
        <is>
          <t>Overlap group</t>
        </is>
      </c>
      <c r="G3" s="3" t="inlineStr">
        <is>
          <t>Martin position / disposition</t>
        </is>
      </c>
    </row>
    <row r="4" ht="50" customHeight="1" s="40">
      <c r="A4" s="4" t="inlineStr">
        <is>
          <t>A-01</t>
        </is>
      </c>
      <c r="B4" s="17" t="inlineStr">
        <is>
          <t>Ailin</t>
        </is>
      </c>
      <c r="C4" s="4" t="inlineStr">
        <is>
          <t>p. 1; pp. 7-8</t>
        </is>
      </c>
      <c r="D4" s="4" t="inlineStr">
        <is>
          <t>VIX operationalization differs from Gonzalez-Rozada and Levy-Yeyati (2008) and is not justified.</t>
        </is>
      </c>
      <c r="E4" s="4" t="inlineStr">
        <is>
          <t>MR-09, MR-10</t>
        </is>
      </c>
      <c r="F4" s="4" t="inlineStr">
        <is>
          <t>OG-04</t>
        </is>
      </c>
      <c r="G4" s="4" t="inlineStr">
        <is>
          <t>Partial agreement: justify VIX; no mandatory replacement.</t>
        </is>
      </c>
    </row>
    <row r="5" ht="50" customHeight="1" s="40">
      <c r="A5" s="4" t="inlineStr">
        <is>
          <t>A-02</t>
        </is>
      </c>
      <c r="B5" s="17" t="inlineStr">
        <is>
          <t>Ailin</t>
        </is>
      </c>
      <c r="C5" s="4" t="inlineStr">
        <is>
          <t>p. 1; p. 3; pp. 5-7</t>
        </is>
      </c>
      <c r="D5" s="4" t="inlineStr">
        <is>
          <t>Missing SDF/Euler, Fama (1984), Lustig et al. (2011) and related asset-pricing bridge.</t>
        </is>
      </c>
      <c r="E5" s="4" t="inlineStr">
        <is>
          <t>MR-04, MR-05, MR-11</t>
        </is>
      </c>
      <c r="F5" s="4" t="inlineStr">
        <is>
          <t>OG-02 / OG-05</t>
        </is>
      </c>
      <c r="G5" s="4" t="inlineStr">
        <is>
          <t>Partial agreement: concise bridge, no theoretical redesign.</t>
        </is>
      </c>
    </row>
    <row r="6" ht="50" customHeight="1" s="40">
      <c r="A6" s="4" t="inlineStr">
        <is>
          <t>A-03</t>
        </is>
      </c>
      <c r="B6" s="17" t="inlineStr">
        <is>
          <t>Ailin</t>
        </is>
      </c>
      <c r="C6" s="4" t="inlineStr">
        <is>
          <t>p. 2; p. 6; M1</t>
        </is>
      </c>
      <c r="D6" s="4" t="inlineStr">
        <is>
          <t>Sovereign indicator reuses the IPCA curve; long end may be near zero by construction and short end a market basis.</t>
        </is>
      </c>
      <c r="E6" s="4" t="inlineStr">
        <is>
          <t>MR-01, MR-02</t>
        </is>
      </c>
      <c r="F6" s="4" t="inlineStr">
        <is>
          <t>OG-01</t>
        </is>
      </c>
      <c r="G6" s="4" t="inlineStr">
        <is>
          <t>Now high priority: answer through sovereign-ceiling framing, matching and robustness.</t>
        </is>
      </c>
    </row>
    <row r="7" ht="50" customHeight="1" s="40">
      <c r="A7" s="4" t="inlineStr">
        <is>
          <t>A-04</t>
        </is>
      </c>
      <c r="B7" s="17" t="inlineStr">
        <is>
          <t>Ailin</t>
        </is>
      </c>
      <c r="C7" s="4" t="inlineStr">
        <is>
          <t>p. 2; pp. 5-7; M3</t>
        </is>
      </c>
      <c r="D7" s="4" t="inlineStr">
        <is>
          <t>Implicit beta=1 to the real-curve factor; domestic real rate omitted.</t>
        </is>
      </c>
      <c r="E7" s="4" t="inlineStr">
        <is>
          <t>MR-04, MR-05</t>
        </is>
      </c>
      <c r="F7" s="4" t="inlineStr">
        <is>
          <t>OG-02</t>
        </is>
      </c>
      <c r="G7" s="4" t="inlineStr">
        <is>
          <t>SELIC not added separately; bounded real-curve diagnostic only.</t>
        </is>
      </c>
    </row>
    <row r="8" ht="50" customHeight="1" s="40">
      <c r="A8" s="4" t="inlineStr">
        <is>
          <t>A-05</t>
        </is>
      </c>
      <c r="B8" s="17" t="inlineStr">
        <is>
          <t>Ailin</t>
        </is>
      </c>
      <c r="C8" s="4" t="inlineStr">
        <is>
          <t>p. 2; p. 7; M2</t>
        </is>
      </c>
      <c r="D8" s="4" t="inlineStr">
        <is>
          <t>Arithmetic spread calculation is inconsistent with compounding conventions.</t>
        </is>
      </c>
      <c r="E8" s="4" t="inlineStr">
        <is>
          <t>MR-03</t>
        </is>
      </c>
      <c r="F8" s="4" t="inlineStr">
        <is>
          <t>OG-02</t>
        </is>
      </c>
      <c r="G8" s="4" t="inlineStr">
        <is>
          <t>Agrees: recalculate geometrically/log-consistently.</t>
        </is>
      </c>
    </row>
    <row r="9" ht="50" customHeight="1" s="40">
      <c r="A9" s="4" t="inlineStr">
        <is>
          <t>A-06</t>
        </is>
      </c>
      <c r="B9" s="17" t="inlineStr">
        <is>
          <t>Ailin</t>
        </is>
      </c>
      <c r="C9" s="4" t="inlineStr">
        <is>
          <t>p. 2; pp. 7-8; M4</t>
        </is>
      </c>
      <c r="D9" s="4" t="inlineStr">
        <is>
          <t>VIX is not pure risk aversion; use a composite PCA index.</t>
        </is>
      </c>
      <c r="E9" s="4" t="inlineStr">
        <is>
          <t>MR-09, MR-10</t>
        </is>
      </c>
      <c r="F9" s="4" t="inlineStr">
        <is>
          <t>OG-04</t>
        </is>
      </c>
      <c r="G9" s="4" t="inlineStr">
        <is>
          <t>No mandatory PCA; justify VIX and acknowledge alternatives.</t>
        </is>
      </c>
    </row>
    <row r="10" ht="50" customHeight="1" s="40">
      <c r="A10" s="4" t="inlineStr">
        <is>
          <t>A-07</t>
        </is>
      </c>
      <c r="B10" s="17" t="inlineStr">
        <is>
          <t>Ailin</t>
        </is>
      </c>
      <c r="C10" s="4" t="inlineStr">
        <is>
          <t>p. 2; pp. 9-10; M5</t>
        </is>
      </c>
      <c r="D10" s="4" t="inlineStr">
        <is>
          <t>Rating heterogeneity must be modeled, not used ex post.</t>
        </is>
      </c>
      <c r="E10" s="4" t="inlineStr">
        <is>
          <t>MR-06, MR-07</t>
        </is>
      </c>
      <c r="F10" s="4" t="inlineStr">
        <is>
          <t>OG-03</t>
        </is>
      </c>
      <c r="G10" s="4" t="inlineStr">
        <is>
          <t>Agrees on bounded rating/sector tests.</t>
        </is>
      </c>
    </row>
    <row r="11" ht="50" customHeight="1" s="40">
      <c r="A11" s="4" t="inlineStr">
        <is>
          <t>A-08</t>
        </is>
      </c>
      <c r="B11" s="17" t="inlineStr">
        <is>
          <t>Ailin</t>
        </is>
      </c>
      <c r="C11" s="4" t="inlineStr">
        <is>
          <t>p. 2</t>
        </is>
      </c>
      <c r="D11" s="4" t="inlineStr">
        <is>
          <t>Bloomberg is an access channel, not always the primary source.</t>
        </is>
      </c>
      <c r="E11" s="4" t="inlineStr">
        <is>
          <t>MR-28</t>
        </is>
      </c>
      <c r="F11" s="4" t="inlineStr">
        <is>
          <t>OG-12</t>
        </is>
      </c>
      <c r="G11" s="4" t="inlineStr">
        <is>
          <t>Handle within data provenance.</t>
        </is>
      </c>
    </row>
    <row r="12" ht="50" customHeight="1" s="40">
      <c r="A12" s="4" t="inlineStr">
        <is>
          <t>A-09</t>
        </is>
      </c>
      <c r="B12" s="17" t="inlineStr">
        <is>
          <t>Ailin</t>
        </is>
      </c>
      <c r="C12" s="4" t="inlineStr">
        <is>
          <t>p. 2; p. 10; M7</t>
        </is>
      </c>
      <c r="D12" s="4" t="inlineStr">
        <is>
          <t>No complete replication package.</t>
        </is>
      </c>
      <c r="E12" s="4" t="inlineStr">
        <is>
          <t>MR-27</t>
        </is>
      </c>
      <c r="F12" s="4" t="inlineStr">
        <is>
          <t>OG-12</t>
        </is>
      </c>
      <c r="G12" s="4" t="inlineStr">
        <is>
          <t>Agrees: deliver complete package.</t>
        </is>
      </c>
    </row>
    <row r="13" ht="50" customHeight="1" s="40">
      <c r="A13" s="4" t="inlineStr">
        <is>
          <t>A-10</t>
        </is>
      </c>
      <c r="B13" s="17" t="inlineStr">
        <is>
          <t>Ailin</t>
        </is>
      </c>
      <c r="C13" s="4" t="inlineStr">
        <is>
          <t>p. 3</t>
        </is>
      </c>
      <c r="D13" s="4" t="inlineStr">
        <is>
          <t>Central signs have plausible mechanical explanations that are not ruled out.</t>
        </is>
      </c>
      <c r="E13" s="4" t="inlineStr">
        <is>
          <t>MR-01, MR-25, MR-30</t>
        </is>
      </c>
      <c r="F13" s="4" t="inlineStr">
        <is>
          <t>OG-01 / OG-11</t>
        </is>
      </c>
      <c r="G13" s="4" t="inlineStr">
        <is>
          <t>Rewrite after spread/DK work; test or qualify mechanisms.</t>
        </is>
      </c>
    </row>
    <row r="14" ht="50" customHeight="1" s="40">
      <c r="A14" s="4" t="inlineStr">
        <is>
          <t>A-11</t>
        </is>
      </c>
      <c r="B14" s="17" t="inlineStr">
        <is>
          <t>Ailin</t>
        </is>
      </c>
      <c r="C14" s="4" t="inlineStr">
        <is>
          <t>p. 3; p. 4; M8</t>
        </is>
      </c>
      <c r="D14" s="4" t="inlineStr">
        <is>
          <t>Interpretation omits Selic, real curve, investors and Law 12.431.</t>
        </is>
      </c>
      <c r="E14" s="4" t="inlineStr">
        <is>
          <t>MR-26, MR-30</t>
        </is>
      </c>
      <c r="F14" s="4" t="inlineStr">
        <is>
          <t>OG-11</t>
        </is>
      </c>
      <c r="G14" s="4" t="inlineStr">
        <is>
          <t>Deepen Brazil-specific interpretation; no mechanical SELIC inclusion.</t>
        </is>
      </c>
    </row>
    <row r="15" ht="50" customHeight="1" s="40">
      <c r="A15" s="4" t="inlineStr">
        <is>
          <t>A-12</t>
        </is>
      </c>
      <c r="B15" s="17" t="inlineStr">
        <is>
          <t>Ailin</t>
        </is>
      </c>
      <c r="C15" s="4" t="inlineStr">
        <is>
          <t>p. 3; p. 6</t>
        </is>
      </c>
      <c r="D15" s="4" t="inlineStr">
        <is>
          <t>Stale OTC pricing may mechanically generate negative signs.</t>
        </is>
      </c>
      <c r="E15" s="4" t="inlineStr">
        <is>
          <t>MR-25</t>
        </is>
      </c>
      <c r="F15" s="4" t="inlineStr">
        <is>
          <t>OG-11</t>
        </is>
      </c>
      <c r="G15" s="4" t="inlineStr">
        <is>
          <t>Add literature and one bounded diagnostic if feasible.</t>
        </is>
      </c>
    </row>
    <row r="16" ht="50" customHeight="1" s="40">
      <c r="A16" s="4" t="inlineStr">
        <is>
          <t>A-13</t>
        </is>
      </c>
      <c r="B16" s="17" t="inlineStr">
        <is>
          <t>Ailin</t>
        </is>
      </c>
      <c r="C16" s="4" t="inlineStr">
        <is>
          <t>M1</t>
        </is>
      </c>
      <c r="D16" s="4" t="inlineStr">
        <is>
          <t>Use an independent swap/asset-swap sovereign benchmark and USD CDS robustness.</t>
        </is>
      </c>
      <c r="E16" s="4" t="inlineStr">
        <is>
          <t>MR-01</t>
        </is>
      </c>
      <c r="F16" s="4" t="inlineStr">
        <is>
          <t>OG-01</t>
        </is>
      </c>
      <c r="G16" s="4" t="inlineStr">
        <is>
          <t>Local-currency benchmark remains primary; independent robustness preferred.</t>
        </is>
      </c>
    </row>
    <row r="17" ht="50" customHeight="1" s="40">
      <c r="A17" s="4" t="inlineStr">
        <is>
          <t>A-14</t>
        </is>
      </c>
      <c r="B17" s="17" t="inlineStr">
        <is>
          <t>Ailin</t>
        </is>
      </c>
      <c r="C17" s="4" t="inlineStr">
        <is>
          <t>M3</t>
        </is>
      </c>
      <c r="D17" s="4" t="inlineStr">
        <is>
          <t>Ideally use a two-step Fama-MacBeth model.</t>
        </is>
      </c>
      <c r="E17" s="4" t="inlineStr">
        <is>
          <t>MR-05</t>
        </is>
      </c>
      <c r="F17" s="4" t="inlineStr">
        <is>
          <t>OG-02</t>
        </is>
      </c>
      <c r="G17" s="4" t="inlineStr">
        <is>
          <t>Not endorsed as required.</t>
        </is>
      </c>
    </row>
    <row r="18" ht="50" customHeight="1" s="40">
      <c r="A18" s="4" t="inlineStr">
        <is>
          <t>A-15</t>
        </is>
      </c>
      <c r="B18" s="17" t="inlineStr">
        <is>
          <t>Ailin</t>
        </is>
      </c>
      <c r="C18" s="4" t="inlineStr">
        <is>
          <t>pp. 8-10; M6</t>
        </is>
      </c>
      <c r="D18" s="4" t="inlineStr">
        <is>
          <t>Build sovereign/corporate breakevens using CDI-linked synthetic fixed rates.</t>
        </is>
      </c>
      <c r="E18" s="4" t="inlineStr">
        <is>
          <t>MR-29</t>
        </is>
      </c>
      <c r="F18" s="4" t="inlineStr">
        <is>
          <t>OG-13</t>
        </is>
      </c>
      <c r="G18" s="4" t="inlineStr">
        <is>
          <t>Future research only.</t>
        </is>
      </c>
    </row>
    <row r="19" ht="50" customHeight="1" s="40">
      <c r="A19" s="4" t="inlineStr">
        <is>
          <t>A-16</t>
        </is>
      </c>
      <c r="B19" s="17" t="inlineStr">
        <is>
          <t>Ailin</t>
        </is>
      </c>
      <c r="C19" s="4" t="inlineStr">
        <is>
          <t>M8</t>
        </is>
      </c>
      <c r="D19" s="4" t="inlineStr">
        <is>
          <t>Rewrite results after core corrections and discard mechanical explanations first.</t>
        </is>
      </c>
      <c r="E19" s="4" t="inlineStr">
        <is>
          <t>MR-19, MR-30</t>
        </is>
      </c>
      <c r="F19" s="4" t="inlineStr">
        <is>
          <t>OG-08 / OG-11</t>
        </is>
      </c>
      <c r="G19" s="4" t="inlineStr">
        <is>
          <t>Agrees with a bounded sequence.</t>
        </is>
      </c>
    </row>
    <row r="20" ht="50" customHeight="1" s="40">
      <c r="A20" s="4" t="inlineStr">
        <is>
          <t>A-17</t>
        </is>
      </c>
      <c r="B20" s="17" t="inlineStr">
        <is>
          <t>Ailin</t>
        </is>
      </c>
      <c r="C20" s="4" t="inlineStr">
        <is>
          <t>p. 4</t>
        </is>
      </c>
      <c r="D20" s="4" t="inlineStr">
        <is>
          <t>Prepare defense answers on swaps, signs, real rates, investors and VIX.</t>
        </is>
      </c>
      <c r="E20" s="4" t="inlineStr">
        <is>
          <t>MR-30</t>
        </is>
      </c>
      <c r="F20" s="4" t="inlineStr">
        <is>
          <t>OG-11</t>
        </is>
      </c>
      <c r="G20" s="4" t="inlineStr">
        <is>
          <t>Address in response memo/defense.</t>
        </is>
      </c>
    </row>
    <row r="21" ht="50" customHeight="1" s="40">
      <c r="A21" s="4" t="inlineStr">
        <is>
          <t>A-18</t>
        </is>
      </c>
      <c r="B21" s="17" t="inlineStr">
        <is>
          <t>Ailin</t>
        </is>
      </c>
      <c r="C21" s="4" t="inlineStr">
        <is>
          <t>p. 3</t>
        </is>
      </c>
      <c r="D21" s="4" t="inlineStr">
        <is>
          <t>Report over-centers sovereign and VIX results.</t>
        </is>
      </c>
      <c r="E21" s="4" t="inlineStr">
        <is>
          <t>MR-30</t>
        </is>
      </c>
      <c r="F21" s="4" t="inlineStr">
        <is>
          <t>OG-11</t>
        </is>
      </c>
      <c r="G21" s="4" t="inlineStr">
        <is>
          <t>Seminars should emphasize external versus internal evidence broadly.</t>
        </is>
      </c>
    </row>
    <row r="22" ht="50" customHeight="1" s="40">
      <c r="A22" s="4" t="inlineStr">
        <is>
          <t>M-01</t>
        </is>
      </c>
      <c r="B22" s="18" t="inlineStr">
        <is>
          <t>Maximo</t>
        </is>
      </c>
      <c r="C22" s="4" t="inlineStr">
        <is>
          <t>p. 1</t>
        </is>
      </c>
      <c r="D22" s="4" t="inlineStr">
        <is>
          <t>Theory recognizes heterogeneous sovereign transmission but the model estimates one average coefficient.</t>
        </is>
      </c>
      <c r="E22" s="4" t="inlineStr">
        <is>
          <t>MR-06, MR-07</t>
        </is>
      </c>
      <c r="F22" s="4" t="inlineStr">
        <is>
          <t>OG-03</t>
        </is>
      </c>
      <c r="G22" s="4" t="inlineStr">
        <is>
          <t>Agrees: grouped tests, with issuer/bond slopes only where powered.</t>
        </is>
      </c>
    </row>
    <row r="23" ht="50" customHeight="1" s="40">
      <c r="A23" s="4" t="inlineStr">
        <is>
          <t>M-02</t>
        </is>
      </c>
      <c r="B23" s="18" t="inlineStr">
        <is>
          <t>Maximo</t>
        </is>
      </c>
      <c r="C23" s="4" t="inlineStr">
        <is>
          <t>p. 1</t>
        </is>
      </c>
      <c r="D23" s="4" t="inlineStr">
        <is>
          <t>Causal language conflicts with the correlational design.</t>
        </is>
      </c>
      <c r="E23" s="4" t="inlineStr">
        <is>
          <t>MR-12</t>
        </is>
      </c>
      <c r="F23" s="4" t="inlineStr">
        <is>
          <t>OG-06</t>
        </is>
      </c>
      <c r="G23" s="4" t="inlineStr">
        <is>
          <t>No direct position; correct wording.</t>
        </is>
      </c>
    </row>
    <row r="24" ht="50" customHeight="1" s="40">
      <c r="A24" s="4" t="inlineStr">
        <is>
          <t>M-03</t>
        </is>
      </c>
      <c r="B24" s="18" t="inlineStr">
        <is>
          <t>Maximo</t>
        </is>
      </c>
      <c r="C24" s="4" t="inlineStr">
        <is>
          <t>p. 1</t>
        </is>
      </c>
      <c r="D24" s="4" t="inlineStr">
        <is>
          <t>VIX differs from the cited proxy and the change is unexplained.</t>
        </is>
      </c>
      <c r="E24" s="4" t="inlineStr">
        <is>
          <t>MR-09</t>
        </is>
      </c>
      <c r="F24" s="4" t="inlineStr">
        <is>
          <t>OG-04</t>
        </is>
      </c>
      <c r="G24" s="4" t="inlineStr">
        <is>
          <t>Explain proxy choice.</t>
        </is>
      </c>
    </row>
    <row r="25" ht="50" customHeight="1" s="40">
      <c r="A25" s="4" t="inlineStr">
        <is>
          <t>M-04</t>
        </is>
      </c>
      <c r="B25" s="18" t="inlineStr">
        <is>
          <t>Maximo</t>
        </is>
      </c>
      <c r="C25" s="4" t="inlineStr">
        <is>
          <t>p. 2</t>
        </is>
      </c>
      <c r="D25" s="4" t="inlineStr">
        <is>
          <t>Sovereign regressor is algebraically one component of the corporate spread.</t>
        </is>
      </c>
      <c r="E25" s="4" t="inlineStr">
        <is>
          <t>MR-01, MR-02</t>
        </is>
      </c>
      <c r="F25" s="4" t="inlineStr">
        <is>
          <t>OG-01</t>
        </is>
      </c>
      <c r="G25" s="4" t="inlineStr">
        <is>
          <t>Top priority: sovereign-ceiling interpretation, matching, literature and alternative YTM form.</t>
        </is>
      </c>
    </row>
    <row r="26" ht="50" customHeight="1" s="40">
      <c r="A26" s="4" t="inlineStr">
        <is>
          <t>M-05</t>
        </is>
      </c>
      <c r="B26" s="18" t="inlineStr">
        <is>
          <t>Maximo</t>
        </is>
      </c>
      <c r="C26" s="4" t="inlineStr">
        <is>
          <t>p. 2</t>
        </is>
      </c>
      <c r="D26" s="4" t="inlineStr">
        <is>
          <t>Macro evidence rests on about 186 monthly observations, not 4,229 independent macro observations.</t>
        </is>
      </c>
      <c r="E26" s="4" t="inlineStr">
        <is>
          <t>MR-13</t>
        </is>
      </c>
      <c r="F26" s="4" t="inlineStr">
        <is>
          <t>OG-07</t>
        </is>
      </c>
      <c r="G26" s="4" t="inlineStr">
        <is>
          <t>Agrees to clarify.</t>
        </is>
      </c>
    </row>
    <row r="27" ht="50" customHeight="1" s="40">
      <c r="A27" s="4" t="inlineStr">
        <is>
          <t>M-06</t>
        </is>
      </c>
      <c r="B27" s="18" t="inlineStr">
        <is>
          <t>Maximo</t>
        </is>
      </c>
      <c r="C27" s="4" t="inlineStr">
        <is>
          <t>p. 2</t>
        </is>
      </c>
      <c r="D27" s="4" t="inlineStr">
        <is>
          <t>No bond-month regressor explains cross-bond differences; issue size may be absorbed by FE.</t>
        </is>
      </c>
      <c r="E27" s="4" t="inlineStr">
        <is>
          <t>MR-14, MR-15</t>
        </is>
      </c>
      <c r="F27" s="4" t="inlineStr">
        <is>
          <t>OG-07</t>
        </is>
      </c>
      <c r="G27" s="4" t="inlineStr">
        <is>
          <t>Audit size and clarify FE scope.</t>
        </is>
      </c>
    </row>
    <row r="28" ht="50" customHeight="1" s="40">
      <c r="A28" s="4" t="inlineStr">
        <is>
          <t>M-07</t>
        </is>
      </c>
      <c r="B28" s="18" t="inlineStr">
        <is>
          <t>Maximo</t>
        </is>
      </c>
      <c r="C28" s="4" t="inlineStr">
        <is>
          <t>p. 3</t>
        </is>
      </c>
      <c r="D28" s="4" t="inlineStr">
        <is>
          <t>Issuer-clustered errors ignore common shocks.</t>
        </is>
      </c>
      <c r="E28" s="4" t="inlineStr">
        <is>
          <t>MR-16</t>
        </is>
      </c>
      <c r="F28" s="4" t="inlineStr">
        <is>
          <t>OG-08</t>
        </is>
      </c>
      <c r="G28" s="4" t="inlineStr">
        <is>
          <t>Agrees; DK preferred.</t>
        </is>
      </c>
    </row>
    <row r="29" ht="50" customHeight="1" s="40">
      <c r="A29" s="4" t="inlineStr">
        <is>
          <t>M-08</t>
        </is>
      </c>
      <c r="B29" s="18" t="inlineStr">
        <is>
          <t>Maximo</t>
        </is>
      </c>
      <c r="C29" s="4" t="inlineStr">
        <is>
          <t>p. 3</t>
        </is>
      </c>
      <c r="D29" s="4" t="inlineStr">
        <is>
          <t>Driscoll-Kraay is the appropriate reference inference.</t>
        </is>
      </c>
      <c r="E29" s="4" t="inlineStr">
        <is>
          <t>MR-16</t>
        </is>
      </c>
      <c r="F29" s="4" t="inlineStr">
        <is>
          <t>OG-08</t>
        </is>
      </c>
      <c r="G29" s="4" t="inlineStr">
        <is>
          <t>Strongly agrees; DK only in main results.</t>
        </is>
      </c>
    </row>
    <row r="30" ht="50" customHeight="1" s="40">
      <c r="A30" s="4" t="inlineStr">
        <is>
          <t>M-09</t>
        </is>
      </c>
      <c r="B30" s="18" t="inlineStr">
        <is>
          <t>Maximo</t>
        </is>
      </c>
      <c r="C30" s="4" t="inlineStr">
        <is>
          <t>p. 3</t>
        </is>
      </c>
      <c r="D30" s="4" t="inlineStr">
        <is>
          <t>PCSE coefficients differ from FE, indicating a different model or syntax issue.</t>
        </is>
      </c>
      <c r="E30" s="4" t="inlineStr">
        <is>
          <t>MR-17</t>
        </is>
      </c>
      <c r="F30" s="4" t="inlineStr">
        <is>
          <t>OG-08</t>
        </is>
      </c>
      <c r="G30" s="4" t="inlineStr">
        <is>
          <t>Audit, explain and remove PCSE from main presentation.</t>
        </is>
      </c>
    </row>
    <row r="31" ht="50" customHeight="1" s="40">
      <c r="A31" s="4" t="inlineStr">
        <is>
          <t>M-10</t>
        </is>
      </c>
      <c r="B31" s="18" t="inlineStr">
        <is>
          <t>Maximo</t>
        </is>
      </c>
      <c r="C31" s="4" t="inlineStr">
        <is>
          <t>p. 3</t>
        </is>
      </c>
      <c r="D31" s="4" t="inlineStr">
        <is>
          <t>Under DK, several earlier significance claims weaken.</t>
        </is>
      </c>
      <c r="E31" s="4" t="inlineStr">
        <is>
          <t>MR-19</t>
        </is>
      </c>
      <c r="F31" s="4" t="inlineStr">
        <is>
          <t>OG-08</t>
        </is>
      </c>
      <c r="G31" s="4" t="inlineStr">
        <is>
          <t>Use DK only and rewrite results.</t>
        </is>
      </c>
    </row>
    <row r="32" ht="50" customHeight="1" s="40">
      <c r="A32" s="4" t="inlineStr">
        <is>
          <t>M-11</t>
        </is>
      </c>
      <c r="B32" s="18" t="inlineStr">
        <is>
          <t>Maximo</t>
        </is>
      </c>
      <c r="C32" s="4" t="inlineStr">
        <is>
          <t>p. 3</t>
        </is>
      </c>
      <c r="D32" s="4" t="inlineStr">
        <is>
          <t>Persistence and serial correlation motivate differences/unit-root questions.</t>
        </is>
      </c>
      <c r="E32" s="4" t="inlineStr">
        <is>
          <t>MR-20</t>
        </is>
      </c>
      <c r="F32" s="4" t="inlineStr">
        <is>
          <t>OG-09</t>
        </is>
      </c>
      <c r="G32" s="4" t="inlineStr">
        <is>
          <t>Dynamic redesign not endorsed; acknowledge limits.</t>
        </is>
      </c>
    </row>
    <row r="33" ht="50" customHeight="1" s="40">
      <c r="A33" s="4" t="inlineStr">
        <is>
          <t>M-12</t>
        </is>
      </c>
      <c r="B33" s="18" t="inlineStr">
        <is>
          <t>Maximo</t>
        </is>
      </c>
      <c r="C33" s="4" t="inlineStr">
        <is>
          <t>p. 3</t>
        </is>
      </c>
      <c r="D33" s="4" t="inlineStr">
        <is>
          <t>Collin-Dufresne et al. (2001) is misused as support for levels.</t>
        </is>
      </c>
      <c r="E33" s="4" t="inlineStr">
        <is>
          <t>MR-21</t>
        </is>
      </c>
      <c r="F33" s="4" t="inlineStr">
        <is>
          <t>OG-09</t>
        </is>
      </c>
      <c r="G33" s="4" t="inlineStr">
        <is>
          <t>Correct the citation.</t>
        </is>
      </c>
    </row>
    <row r="34" ht="50" customHeight="1" s="40">
      <c r="A34" s="4" t="inlineStr">
        <is>
          <t>M-13</t>
        </is>
      </c>
      <c r="B34" s="18" t="inlineStr">
        <is>
          <t>Maximo</t>
        </is>
      </c>
      <c r="C34" s="4" t="inlineStr">
        <is>
          <t>pp. 3-4</t>
        </is>
      </c>
      <c r="D34" s="4" t="inlineStr">
        <is>
          <t>Debt/GDP significance differs between text and table.</t>
        </is>
      </c>
      <c r="E34" s="4" t="inlineStr">
        <is>
          <t>MR-22</t>
        </is>
      </c>
      <c r="F34" s="4" t="inlineStr">
        <is>
          <t>OG-10</t>
        </is>
      </c>
      <c r="G34" s="4" t="inlineStr">
        <is>
          <t>Correct in final table-to-text audit.</t>
        </is>
      </c>
    </row>
    <row r="35" ht="50" customHeight="1" s="40">
      <c r="A35" s="4" t="inlineStr">
        <is>
          <t>M-14</t>
        </is>
      </c>
      <c r="B35" s="18" t="inlineStr">
        <is>
          <t>Maximo</t>
        </is>
      </c>
      <c r="C35" s="4" t="inlineStr">
        <is>
          <t>p. 4</t>
        </is>
      </c>
      <c r="D35" s="4" t="inlineStr">
        <is>
          <t>PCSE does not automatically correct serial correlation.</t>
        </is>
      </c>
      <c r="E35" s="4" t="inlineStr">
        <is>
          <t>MR-23</t>
        </is>
      </c>
      <c r="F35" s="4" t="inlineStr">
        <is>
          <t>OG-10</t>
        </is>
      </c>
      <c r="G35" s="4" t="inlineStr">
        <is>
          <t>Delete the claim; PCSE removed from main thesis.</t>
        </is>
      </c>
    </row>
    <row r="36" ht="50" customHeight="1" s="40">
      <c r="A36" s="4" t="inlineStr">
        <is>
          <t>M-15</t>
        </is>
      </c>
      <c r="B36" s="18" t="inlineStr">
        <is>
          <t>Maximo</t>
        </is>
      </c>
      <c r="C36" s="4" t="inlineStr">
        <is>
          <t>p. 4</t>
        </is>
      </c>
      <c r="D36" s="4" t="inlineStr">
        <is>
          <t>Regression table should report standard errors and N.</t>
        </is>
      </c>
      <c r="E36" s="4" t="inlineStr">
        <is>
          <t>MR-24</t>
        </is>
      </c>
      <c r="F36" s="4" t="inlineStr">
        <is>
          <t>OG-10</t>
        </is>
      </c>
      <c r="G36" s="4" t="inlineStr">
        <is>
          <t>Agrees.</t>
        </is>
      </c>
    </row>
    <row r="37" ht="50" customHeight="1" s="40">
      <c r="A37" s="4" t="inlineStr">
        <is>
          <t>M-16</t>
        </is>
      </c>
      <c r="B37" s="18" t="inlineStr">
        <is>
          <t>Maximo</t>
        </is>
      </c>
      <c r="C37" s="4" t="inlineStr">
        <is>
          <t>p. 4</t>
        </is>
      </c>
      <c r="D37" s="4" t="inlineStr">
        <is>
          <t>Explanations for the sovereign sign should be tested with ratings/events/sequential models.</t>
        </is>
      </c>
      <c r="E37" s="4" t="inlineStr">
        <is>
          <t>MR-06, MR-07, MR-08, MR-18</t>
        </is>
      </c>
      <c r="F37" s="4" t="inlineStr">
        <is>
          <t>Multiple</t>
        </is>
      </c>
      <c r="G37" s="4" t="inlineStr">
        <is>
          <t>Core grouped and sequential tests endorsed; events optional.</t>
        </is>
      </c>
    </row>
    <row r="38" ht="50" customHeight="1" s="40">
      <c r="A38" s="4" t="inlineStr">
        <is>
          <t>M-17</t>
        </is>
      </c>
      <c r="B38" s="18" t="inlineStr">
        <is>
          <t>Maximo</t>
        </is>
      </c>
      <c r="C38" s="4" t="inlineStr">
        <is>
          <t>p. 4</t>
        </is>
      </c>
      <c r="D38" s="4" t="inlineStr">
        <is>
          <t>Five central exercises: sovereign reformulation, DK, sequential specs, size clarification and tested interpretations.</t>
        </is>
      </c>
      <c r="E38" s="4" t="inlineStr">
        <is>
          <t>MR-01, MR-14, MR-16, MR-18, MR-06/07</t>
        </is>
      </c>
      <c r="F38" s="4" t="inlineStr">
        <is>
          <t>Multiple</t>
        </is>
      </c>
      <c r="G38" s="4" t="inlineStr">
        <is>
          <t>Highest-priority substantive roadmap.</t>
        </is>
      </c>
    </row>
    <row r="39" ht="50" customHeight="1" s="40">
      <c r="A39" s="4" t="inlineStr">
        <is>
          <t>M-18</t>
        </is>
      </c>
      <c r="B39" s="18" t="inlineStr">
        <is>
          <t>Maximo</t>
        </is>
      </c>
      <c r="C39" s="4" t="inlineStr">
        <is>
          <t>p. 5</t>
        </is>
      </c>
      <c r="D39" s="4" t="inlineStr">
        <is>
          <t>Defense questions on sovereign algebra, DK, PCSE, VIX and testable explanations.</t>
        </is>
      </c>
      <c r="E39" s="4" t="inlineStr">
        <is>
          <t>MR-01, MR-09, MR-16, MR-17, MR-30</t>
        </is>
      </c>
      <c r="F39" s="4" t="inlineStr">
        <is>
          <t>Multiple</t>
        </is>
      </c>
      <c r="G39" s="4" t="inlineStr">
        <is>
          <t>Prepare direct responses and seminar-ready evidence.</t>
        </is>
      </c>
    </row>
    <row r="40" ht="50" customHeight="1" s="40">
      <c r="A40" s="4" t="inlineStr">
        <is>
          <t>D-01</t>
        </is>
      </c>
      <c r="B40" s="19" t="inlineStr">
        <is>
          <t>Daniel</t>
        </is>
      </c>
      <c r="C40" s="4" t="inlineStr">
        <is>
          <t>p. 1</t>
        </is>
      </c>
      <c r="D40" s="4" t="inlineStr">
        <is>
          <t>Research gap/originality is asserted more than demonstrated.</t>
        </is>
      </c>
      <c r="E40" s="4" t="inlineStr">
        <is>
          <t>MR-31, MR-30</t>
        </is>
      </c>
      <c r="F40" s="4" t="inlineStr">
        <is>
          <t>OG-14</t>
        </is>
      </c>
      <c r="G40" s="4" t="inlineStr">
        <is>
          <t>Selective exposition improvement; secondary to Maximo-driven work.</t>
        </is>
      </c>
    </row>
    <row r="41" ht="50" customHeight="1" s="40">
      <c r="A41" s="4" t="inlineStr">
        <is>
          <t>D-02</t>
        </is>
      </c>
      <c r="B41" s="19" t="inlineStr">
        <is>
          <t>Daniel</t>
        </is>
      </c>
      <c r="C41" s="4" t="inlineStr">
        <is>
          <t>p. 1</t>
        </is>
      </c>
      <c r="D41" s="4" t="inlineStr">
        <is>
          <t>Three broad questions obscure the central contribution.</t>
        </is>
      </c>
      <c r="E41" s="4" t="inlineStr">
        <is>
          <t>MR-31</t>
        </is>
      </c>
      <c r="F41" s="4" t="inlineStr">
        <is>
          <t>OG-14</t>
        </is>
      </c>
      <c r="G41" s="4" t="inlineStr">
        <is>
          <t>Define one primary question after empirical freeze.</t>
        </is>
      </c>
    </row>
    <row r="42" ht="50" customHeight="1" s="40">
      <c r="A42" s="4" t="inlineStr">
        <is>
          <t>D-03</t>
        </is>
      </c>
      <c r="B42" s="19" t="inlineStr">
        <is>
          <t>Daniel</t>
        </is>
      </c>
      <c r="C42" s="4" t="inlineStr">
        <is>
          <t>p. 1</t>
        </is>
      </c>
      <c r="D42" s="4" t="inlineStr">
        <is>
          <t>Theoretical framework is pertinent but too descriptive.</t>
        </is>
      </c>
      <c r="E42" s="4" t="inlineStr">
        <is>
          <t>MR-11, MR-32</t>
        </is>
      </c>
      <c r="F42" s="4" t="inlineStr">
        <is>
          <t>OG-05 / OG-14</t>
        </is>
      </c>
      <c r="G42" s="4" t="inlineStr">
        <is>
          <t>Strengthen bridge without theoretical redesign.</t>
        </is>
      </c>
    </row>
    <row r="43" ht="50" customHeight="1" s="40">
      <c r="A43" s="4" t="inlineStr">
        <is>
          <t>D-04</t>
        </is>
      </c>
      <c r="B43" s="19" t="inlineStr">
        <is>
          <t>Daniel</t>
        </is>
      </c>
      <c r="C43" s="4" t="inlineStr">
        <is>
          <t>p. 1</t>
        </is>
      </c>
      <c r="D43" s="4" t="inlineStr">
        <is>
          <t>Nine hypotheses exceed one panel model; some proxies are contestable.</t>
        </is>
      </c>
      <c r="E43" s="4" t="inlineStr">
        <is>
          <t>MR-32, MR-30</t>
        </is>
      </c>
      <c r="F43" s="4" t="inlineStr">
        <is>
          <t>OG-14</t>
        </is>
      </c>
      <c r="G43" s="4" t="inlineStr">
        <is>
          <t>Link hypotheses to final results; classify core/secondary evidence.</t>
        </is>
      </c>
    </row>
    <row r="44" ht="50" customHeight="1" s="40">
      <c r="A44" s="4" t="inlineStr">
        <is>
          <t>D-05</t>
        </is>
      </c>
      <c r="B44" s="19" t="inlineStr">
        <is>
          <t>Daniel</t>
        </is>
      </c>
      <c r="C44" s="4" t="inlineStr">
        <is>
          <t>p. 2</t>
        </is>
      </c>
      <c r="D44" s="4" t="inlineStr">
        <is>
          <t>The panel is strongly unbalanced with unequal coverage.</t>
        </is>
      </c>
      <c r="E44" s="4" t="inlineStr">
        <is>
          <t>MR-13, MR-15</t>
        </is>
      </c>
      <c r="F44" s="4" t="inlineStr">
        <is>
          <t>OG-07</t>
        </is>
      </c>
      <c r="G44" s="4" t="inlineStr">
        <is>
          <t>Clarify panel profile and qualify precision.</t>
        </is>
      </c>
    </row>
    <row r="45" ht="50" customHeight="1" s="40">
      <c r="A45" s="4" t="inlineStr">
        <is>
          <t>D-06</t>
        </is>
      </c>
      <c r="B45" s="19" t="inlineStr">
        <is>
          <t>Daniel</t>
        </is>
      </c>
      <c r="C45" s="4" t="inlineStr">
        <is>
          <t>p. 2</t>
        </is>
      </c>
      <c r="D45" s="4" t="inlineStr">
        <is>
          <t>Heteroskedasticity, dependence and serial correlation make inference demanding; estimators differ.</t>
        </is>
      </c>
      <c r="E45" s="4" t="inlineStr">
        <is>
          <t>MR-16, MR-17, MR-18, MR-19</t>
        </is>
      </c>
      <c r="F45" s="4" t="inlineStr">
        <is>
          <t>OG-08</t>
        </is>
      </c>
      <c r="G45" s="4" t="inlineStr">
        <is>
          <t>Already addressed in substance; make diagnostics visible and use DK only.</t>
        </is>
      </c>
    </row>
    <row r="46" ht="50" customHeight="1" s="40">
      <c r="A46" s="4" t="inlineStr">
        <is>
          <t>D-07</t>
        </is>
      </c>
      <c r="B46" s="19" t="inlineStr">
        <is>
          <t>Daniel</t>
        </is>
      </c>
      <c r="C46" s="4" t="inlineStr">
        <is>
          <t>p. 2</t>
        </is>
      </c>
      <c r="D46" s="4" t="inlineStr">
        <is>
          <t>Results support associations, not strong causal claims.</t>
        </is>
      </c>
      <c r="E46" s="4" t="inlineStr">
        <is>
          <t>MR-12</t>
        </is>
      </c>
      <c r="F46" s="4" t="inlineStr">
        <is>
          <t>OG-06</t>
        </is>
      </c>
      <c r="G46" s="4" t="inlineStr">
        <is>
          <t>Valid wording correction.</t>
        </is>
      </c>
    </row>
    <row r="47" ht="50" customHeight="1" s="40">
      <c r="A47" s="4" t="inlineStr">
        <is>
          <t>D-08</t>
        </is>
      </c>
      <c r="B47" s="19" t="inlineStr">
        <is>
          <t>Daniel</t>
        </is>
      </c>
      <c r="C47" s="4" t="inlineStr">
        <is>
          <t>p. 2</t>
        </is>
      </c>
      <c r="D47" s="4" t="inlineStr">
        <is>
          <t>Unit-root tests could not be applied to the full panel.</t>
        </is>
      </c>
      <c r="E47" s="4" t="inlineStr">
        <is>
          <t>MR-20</t>
        </is>
      </c>
      <c r="F47" s="4" t="inlineStr">
        <is>
          <t>OG-09</t>
        </is>
      </c>
      <c r="G47" s="4" t="inlineStr">
        <is>
          <t>Acknowledge limitation; no dynamic-panel redesign.</t>
        </is>
      </c>
    </row>
    <row r="48" ht="50" customHeight="1" s="40">
      <c r="A48" s="4" t="inlineStr">
        <is>
          <t>D-09</t>
        </is>
      </c>
      <c r="B48" s="19" t="inlineStr">
        <is>
          <t>Daniel</t>
        </is>
      </c>
      <c r="C48" s="4" t="inlineStr">
        <is>
          <t>p. 2</t>
        </is>
      </c>
      <c r="D48" s="4" t="inlineStr">
        <is>
          <t>Conclusions should be moderated because robustness varies.</t>
        </is>
      </c>
      <c r="E48" s="4" t="inlineStr">
        <is>
          <t>MR-09, MR-19, MR-30</t>
        </is>
      </c>
      <c r="F48" s="4" t="inlineStr">
        <is>
          <t>OG-04 / OG-11</t>
        </is>
      </c>
      <c r="G48" s="4" t="inlineStr">
        <is>
          <t>Rewrite after final DK and classify evidence.</t>
        </is>
      </c>
    </row>
    <row r="49" ht="50" customHeight="1" s="40">
      <c r="A49" s="4" t="inlineStr">
        <is>
          <t>D-10</t>
        </is>
      </c>
      <c r="B49" s="19" t="inlineStr">
        <is>
          <t>Daniel</t>
        </is>
      </c>
      <c r="C49" s="4" t="inlineStr">
        <is>
          <t>pp. 2-3</t>
        </is>
      </c>
      <c r="D49" s="4" t="inlineStr">
        <is>
          <t>Negative sovereign coefficient contradicts H3 and current explanations are ex post.</t>
        </is>
      </c>
      <c r="E49" s="4" t="inlineStr">
        <is>
          <t>MR-01, MR-06, MR-30</t>
        </is>
      </c>
      <c r="F49" s="4" t="inlineStr">
        <is>
          <t>OG-01 / OG-03 / OG-11</t>
        </is>
      </c>
      <c r="G49" s="4" t="inlineStr">
        <is>
          <t>Address through Maximo-priority sovereign-ceiling framing and bounded heterogeneity tests.</t>
        </is>
      </c>
    </row>
    <row r="50" ht="50" customHeight="1" s="40">
      <c r="A50" s="4" t="inlineStr">
        <is>
          <t>D-11</t>
        </is>
      </c>
      <c r="B50" s="19" t="inlineStr">
        <is>
          <t>Daniel</t>
        </is>
      </c>
      <c r="C50" s="4" t="inlineStr">
        <is>
          <t>pp. 2-3</t>
        </is>
      </c>
      <c r="D50" s="4" t="inlineStr">
        <is>
          <t>Relative issue size changes sign under PCSE.</t>
        </is>
      </c>
      <c r="E50" s="4" t="inlineStr">
        <is>
          <t>MR-14, MR-17, MR-19</t>
        </is>
      </c>
      <c r="F50" s="4" t="inlineStr">
        <is>
          <t>OG-07 / OG-08 / OG-10</t>
        </is>
      </c>
      <c r="G50" s="4" t="inlineStr">
        <is>
          <t>Audit construction; remove misleading PCSE comparison.</t>
        </is>
      </c>
    </row>
    <row r="51" ht="50" customHeight="1" s="40">
      <c r="A51" s="4" t="inlineStr">
        <is>
          <t>D-12</t>
        </is>
      </c>
      <c r="B51" s="19" t="inlineStr">
        <is>
          <t>Daniel</t>
        </is>
      </c>
      <c r="C51" s="4" t="inlineStr">
        <is>
          <t>pp. 2-3</t>
        </is>
      </c>
      <c r="D51" s="4" t="inlineStr">
        <is>
          <t>Leverage and operating liquidity are not robust.</t>
        </is>
      </c>
      <c r="E51" s="4" t="inlineStr">
        <is>
          <t>MR-19, MR-30</t>
        </is>
      </c>
      <c r="F51" s="4" t="inlineStr">
        <is>
          <t>OG-11</t>
        </is>
      </c>
      <c r="G51" s="4" t="inlineStr">
        <is>
          <t>Classify as partial/null based on final DK.</t>
        </is>
      </c>
    </row>
    <row r="52" ht="50" customHeight="1" s="40">
      <c r="A52" s="4" t="inlineStr">
        <is>
          <t>D-13</t>
        </is>
      </c>
      <c r="B52" s="19" t="inlineStr">
        <is>
          <t>Daniel</t>
        </is>
      </c>
      <c r="C52" s="4" t="inlineStr">
        <is>
          <t>p. 2</t>
        </is>
      </c>
      <c r="D52" s="4" t="inlineStr">
        <is>
          <t>Contribution is stronger in data/curve construction and macrofinancial associations.</t>
        </is>
      </c>
      <c r="E52" s="4" t="inlineStr">
        <is>
          <t>MR-30, MR-31</t>
        </is>
      </c>
      <c r="F52" s="4" t="inlineStr">
        <is>
          <t>OG-11 / OG-14</t>
        </is>
      </c>
      <c r="G52" s="4" t="inlineStr">
        <is>
          <t>Use in evidence-based contribution narrative, not as a new model task.</t>
        </is>
      </c>
    </row>
    <row r="53" ht="50" customHeight="1" s="40">
      <c r="A53" s="4" t="inlineStr">
        <is>
          <t>D-14</t>
        </is>
      </c>
      <c r="B53" s="19" t="inlineStr">
        <is>
          <t>Daniel</t>
        </is>
      </c>
      <c r="C53" s="4" t="inlineStr">
        <is>
          <t>p. 2</t>
        </is>
      </c>
      <c r="D53" s="4" t="inlineStr">
        <is>
          <t>Final copy-edit needed for language, precision, repetition and terminology.</t>
        </is>
      </c>
      <c r="E53" s="4" t="inlineStr">
        <is>
          <t>MR-33</t>
        </is>
      </c>
      <c r="F53" s="4" t="inlineStr">
        <is>
          <t>OG-15</t>
        </is>
      </c>
      <c r="G53" s="4" t="inlineStr">
        <is>
          <t>Minor final-stage correction.</t>
        </is>
      </c>
    </row>
    <row r="54" ht="50" customHeight="1" s="40">
      <c r="A54" s="4" t="inlineStr">
        <is>
          <t>D-15</t>
        </is>
      </c>
      <c r="B54" s="19" t="inlineStr">
        <is>
          <t>Daniel</t>
        </is>
      </c>
      <c r="C54" s="4" t="inlineStr">
        <is>
          <t>pp. 2-3</t>
        </is>
      </c>
      <c r="D54" s="4" t="inlineStr">
        <is>
          <t>Literature should be more critical/current; bibliometrics are insufficient.</t>
        </is>
      </c>
      <c r="E54" s="4" t="inlineStr">
        <is>
          <t>MR-11, MR-34</t>
        </is>
      </c>
      <c r="F54" s="4" t="inlineStr">
        <is>
          <t>OG-05 / OG-16</t>
        </is>
      </c>
      <c r="G54" s="4" t="inlineStr">
        <is>
          <t>Minor, targeted bibliography and closest-study update.</t>
        </is>
      </c>
    </row>
    <row r="55" ht="50" customHeight="1" s="40">
      <c r="A55" s="4" t="inlineStr">
        <is>
          <t>D-16</t>
        </is>
      </c>
      <c r="B55" s="19" t="inlineStr">
        <is>
          <t>Daniel</t>
        </is>
      </c>
      <c r="C55" s="4" t="inlineStr">
        <is>
          <t>p. 3</t>
        </is>
      </c>
      <c r="D55" s="4" t="inlineStr">
        <is>
          <t>Defense must justify originality and the database/IPCA curve contribution.</t>
        </is>
      </c>
      <c r="E55" s="4" t="inlineStr">
        <is>
          <t>MR-31, MR-30</t>
        </is>
      </c>
      <c r="F55" s="4" t="inlineStr">
        <is>
          <t>OG-14</t>
        </is>
      </c>
      <c r="G55" s="4" t="inlineStr">
        <is>
          <t>Prepare concise contribution evidence.</t>
        </is>
      </c>
    </row>
    <row r="56" ht="50" customHeight="1" s="40">
      <c r="A56" s="4" t="inlineStr">
        <is>
          <t>D-17</t>
        </is>
      </c>
      <c r="B56" s="19" t="inlineStr">
        <is>
          <t>Daniel</t>
        </is>
      </c>
      <c r="C56" s="4" t="inlineStr">
        <is>
          <t>p. 3</t>
        </is>
      </c>
      <c r="D56" s="4" t="inlineStr">
        <is>
          <t>Defense must justify FE and treatment of heteroskedasticity/dependence/serial correlation/imbalance.</t>
        </is>
      </c>
      <c r="E56" s="4" t="inlineStr">
        <is>
          <t>MR-12, MR-13, MR-16, MR-20</t>
        </is>
      </c>
      <c r="F56" s="4" t="inlineStr">
        <is>
          <t>OG-06 / OG-07 / OG-08 / OG-09</t>
        </is>
      </c>
      <c r="G56" s="4" t="inlineStr">
        <is>
          <t>Show diagnostics, DK rationale and limits; no major redesign.</t>
        </is>
      </c>
    </row>
    <row r="57" ht="50" customHeight="1" s="40">
      <c r="A57" s="4" t="inlineStr">
        <is>
          <t>D-18</t>
        </is>
      </c>
      <c r="B57" s="19" t="inlineStr">
        <is>
          <t>Daniel</t>
        </is>
      </c>
      <c r="C57" s="4" t="inlineStr">
        <is>
          <t>p. 3</t>
        </is>
      </c>
      <c r="D57" s="4" t="inlineStr">
        <is>
          <t>Defense must discuss counterintuitive signs, issue-size sensitivity and non-robust firm variables.</t>
        </is>
      </c>
      <c r="E57" s="4" t="inlineStr">
        <is>
          <t>MR-09, MR-14, MR-19, MR-30, MR-32</t>
        </is>
      </c>
      <c r="F57" s="4" t="inlineStr">
        <is>
          <t>OG-04 / OG-07 / OG-11 / OG-14</t>
        </is>
      </c>
      <c r="G57" s="4" t="inlineStr">
        <is>
          <t>Use final H-result scorecard and robust/partial/null hierarchy.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4B183"/>
    <outlinePr summaryBelow="1" summaryRight="1"/>
    <pageSetUpPr/>
  </sheetPr>
  <dimension ref="A1:G24"/>
  <sheetViews>
    <sheetView showGridLines="0" workbookViewId="0">
      <selection activeCell="A1" sqref="A1"/>
    </sheetView>
  </sheetViews>
  <sheetFormatPr baseColWidth="8" defaultRowHeight="14.5"/>
  <cols>
    <col width="12" customWidth="1" style="40" min="1" max="1"/>
    <col width="26" customWidth="1" style="40" min="2" max="2"/>
    <col width="28" customWidth="1" style="40" min="3" max="3"/>
    <col width="62" customWidth="1" style="40" min="4" max="4"/>
    <col width="36" customWidth="1" style="40" min="5" max="5"/>
    <col width="28" customWidth="1" style="40" min="6" max="6"/>
    <col width="58" customWidth="1" style="40" min="7" max="7"/>
  </cols>
  <sheetData>
    <row r="1" ht="26" customHeight="1" s="40">
      <c r="A1" s="45" t="inlineStr">
        <is>
          <t>Director Follow-up Guidance</t>
        </is>
      </c>
    </row>
    <row r="2" ht="34" customHeight="1" s="40">
      <c r="A2" s="48" t="inlineStr">
        <is>
          <t>Traceability for Martin Grandes' September 2026 audio/text guidance. Entries through 27-Sep-2026 update disposition, scope and the exact estimation output; they are not additional juror criticisms.</t>
        </is>
      </c>
    </row>
    <row r="3" ht="34" customHeight="1" s="40">
      <c r="A3" s="3" t="inlineStr">
        <is>
          <t>Guidance ID</t>
        </is>
      </c>
      <c r="B3" s="3" t="inlineStr">
        <is>
          <t>Source / date</t>
        </is>
      </c>
      <c r="C3" s="3" t="inlineStr">
        <is>
          <t>Topic</t>
        </is>
      </c>
      <c r="D3" s="3" t="inlineStr">
        <is>
          <t>Director guidance - condensed</t>
        </is>
      </c>
      <c r="E3" s="3" t="inlineStr">
        <is>
          <t>Master issue / WP</t>
        </is>
      </c>
      <c r="F3" s="3" t="inlineStr">
        <is>
          <t>Disposition</t>
        </is>
      </c>
      <c r="G3" s="3" t="inlineStr">
        <is>
          <t>Required incorporation</t>
        </is>
      </c>
    </row>
    <row r="4" ht="66" customHeight="1" s="40">
      <c r="A4" s="4" t="inlineStr">
        <is>
          <t>MG-01</t>
        </is>
      </c>
      <c r="B4" s="4" t="inlineStr">
        <is>
          <t>WhatsApp audio, Sep-2026</t>
        </is>
      </c>
      <c r="C4" s="4" t="inlineStr">
        <is>
          <t>Dynamic panel / lagged spread</t>
        </is>
      </c>
      <c r="D4" s="4" t="inlineStr">
        <is>
          <t>A one-month lag of price/spread has no clear economic role in a forward-looking market at monthly frequency; answer the juror but do not make the model dynamic.</t>
        </is>
      </c>
      <c r="E4" s="4" t="inlineStr">
        <is>
          <t>MR-20 / WP-16</t>
        </is>
      </c>
      <c r="F4" s="4" t="inlineStr">
        <is>
          <t>Not endorsed for main model</t>
        </is>
      </c>
      <c r="G4" s="4" t="inlineStr">
        <is>
          <t>Add a concise static-model rationale, acknowledge persistence and include the non-change in the response memo/PPT.</t>
        </is>
      </c>
    </row>
    <row r="5" ht="66" customHeight="1" s="40">
      <c r="A5" s="4" t="inlineStr">
        <is>
          <t>MG-02</t>
        </is>
      </c>
      <c r="B5" s="4" t="inlineStr">
        <is>
          <t>WhatsApp audio, Sep-2026</t>
        </is>
      </c>
      <c r="C5" s="4" t="inlineStr">
        <is>
          <t>SELIC - first rationale</t>
        </is>
      </c>
      <c r="D5" s="4" t="inlineStr">
        <is>
          <t>Do not add SELIC mechanically; it may duplicate the U.S. forward rate plus expected BRL depreciation.</t>
        </is>
      </c>
      <c r="E5" s="4" t="inlineStr">
        <is>
          <t>MR-04, MR-26 / WP-04</t>
        </is>
      </c>
      <c r="F5" s="4" t="inlineStr">
        <is>
          <t>Diagnostic first</t>
        </is>
      </c>
      <c r="G5" s="4" t="inlineStr">
        <is>
          <t>Document overlap and incremental information before any robustness use.</t>
        </is>
      </c>
    </row>
    <row r="6" ht="66" customHeight="1" s="40">
      <c r="A6" s="4" t="inlineStr">
        <is>
          <t>MG-03</t>
        </is>
      </c>
      <c r="B6" s="4" t="inlineStr">
        <is>
          <t>WhatsApp audio, Sep-2026</t>
        </is>
      </c>
      <c r="C6" s="4" t="inlineStr">
        <is>
          <t>Sovereign risk measure</t>
        </is>
      </c>
      <c r="D6" s="4" t="inlineStr">
        <is>
          <t>The relevant object is Brazil sovereign risk in local currency, not international USD CDS; this is why local curves were built. 27-Sep-2026 clarification: USD CDS 5Y was never part of the economic model and should not be introduced.</t>
        </is>
      </c>
      <c r="E6" s="4" t="inlineStr">
        <is>
          <t>MR-01, MR-02 / WP-02</t>
        </is>
      </c>
      <c r="F6" s="4" t="inlineStr">
        <is>
          <t>Core clarification</t>
        </is>
      </c>
      <c r="G6" s="4" t="inlineStr">
        <is>
          <t>Keep the primary benchmark local and matched; verify USD CDS 5Y is absent from the model and remove any secondary-control language suggesting otherwise.</t>
        </is>
      </c>
    </row>
    <row r="7" ht="66" customHeight="1" s="40">
      <c r="A7" s="4" t="inlineStr">
        <is>
          <t>MG-04</t>
        </is>
      </c>
      <c r="B7" s="4" t="inlineStr">
        <is>
          <t>WhatsApp audio, Sep-2026</t>
        </is>
      </c>
      <c r="C7" s="4" t="inlineStr">
        <is>
          <t>Heterogeneity</t>
        </is>
      </c>
      <c r="D7" s="4" t="inlineStr">
        <is>
          <t>Differences across bonds or groups by sector/industry may be important, but the revision should remain bounded.</t>
        </is>
      </c>
      <c r="E7" s="4" t="inlineStr">
        <is>
          <t>MR-06, MR-07 / WP-05</t>
        </is>
      </c>
      <c r="F7" s="4" t="inlineStr">
        <is>
          <t>Endorsed parsimoniously</t>
        </is>
      </c>
      <c r="G7" s="4" t="inlineStr">
        <is>
          <t>Use pre-specified rating/sector groups and equality tests; avoid an unlimited battery.</t>
        </is>
      </c>
    </row>
    <row r="8" ht="66" customHeight="1" s="40">
      <c r="A8" s="4" t="inlineStr">
        <is>
          <t>MG-05</t>
        </is>
      </c>
      <c r="B8" s="4" t="inlineStr">
        <is>
          <t>WhatsApp audio, Sep-2026</t>
        </is>
      </c>
      <c r="C8" s="4" t="inlineStr">
        <is>
          <t>Theoretical scope</t>
        </is>
      </c>
      <c r="D8" s="4" t="inlineStr">
        <is>
          <t>Acknowledge what theory can derive, but the thesis/paper is empirical and should not be redesigned as a theoretical model.</t>
        </is>
      </c>
      <c r="E8" s="4" t="inlineStr">
        <is>
          <t>MR-05, MR-11, MR-32, MR-34 / WP-11</t>
        </is>
      </c>
      <c r="F8" s="4" t="inlineStr">
        <is>
          <t>Bounded clarification</t>
        </is>
      </c>
      <c r="G8" s="4" t="inlineStr">
        <is>
          <t>Strengthen the theory-to-specification bridge only where it supports the empirical design.</t>
        </is>
      </c>
    </row>
    <row r="9" ht="66" customHeight="1" s="40">
      <c r="A9" s="4" t="inlineStr">
        <is>
          <t>MG-06</t>
        </is>
      </c>
      <c r="B9" s="4" t="inlineStr">
        <is>
          <t>WhatsApp audio/text, Sep-2026</t>
        </is>
      </c>
      <c r="C9" s="4" t="inlineStr">
        <is>
          <t>Geneva presentation</t>
        </is>
      </c>
      <c r="D9" s="4" t="inlineStr">
        <is>
          <t>Shorten the deck; remove excessive methodology/literature; emphasize external versus internal factors and state what was not estimated and why.</t>
        </is>
      </c>
      <c r="E9" s="4" t="inlineStr">
        <is>
          <t>MR-30, MR-31 / WP-14, WP-16</t>
        </is>
      </c>
      <c r="F9" s="4" t="inlineStr">
        <is>
          <t>Presentation requirement</t>
        </is>
      </c>
      <c r="G9" s="4" t="inlineStr">
        <is>
          <t>Build the concise narrative after final results.</t>
        </is>
      </c>
    </row>
    <row r="10" ht="66" customHeight="1" s="40">
      <c r="A10" s="4" t="inlineStr">
        <is>
          <t>MG-07</t>
        </is>
      </c>
      <c r="B10" s="4" t="inlineStr">
        <is>
          <t>Follow-up text, Sep-2026</t>
        </is>
      </c>
      <c r="C10" s="4" t="inlineStr">
        <is>
          <t>Issuer/bond point estimates</t>
        </is>
      </c>
      <c r="D10" s="4" t="inlineStr">
        <is>
          <t>Issuer-level and, where sufficiently powered, bond-level heterogeneous estimates may be informative; small-T slopes can be imprecise.</t>
        </is>
      </c>
      <c r="E10" s="4" t="inlineStr">
        <is>
          <t>MR-05, MR-06 / WP-05, WP-16</t>
        </is>
      </c>
      <c r="F10" s="4" t="inlineStr">
        <is>
          <t>Extension / bounded test</t>
        </is>
      </c>
      <c r="G10" s="4" t="inlineStr">
        <is>
          <t>Prioritize grouped tests; disclose precision limits and do not delay the TFM for 103 separate slopes.</t>
        </is>
      </c>
    </row>
    <row r="11" ht="66" customHeight="1" s="40">
      <c r="A11" s="4" t="inlineStr">
        <is>
          <t>MG-08</t>
        </is>
      </c>
      <c r="B11" s="4" t="inlineStr">
        <is>
          <t>WhatsApp audio, Sep-2026</t>
        </is>
      </c>
      <c r="C11" s="4" t="inlineStr">
        <is>
          <t>Revision scope</t>
        </is>
      </c>
      <c r="D11" s="4" t="inlineStr">
        <is>
          <t>Respond to every comment, but not every suggested extension must be implemented; the thesis must have a bounded end.</t>
        </is>
      </c>
      <c r="E11" s="4" t="inlineStr">
        <is>
          <t>All / Action Sequence</t>
        </is>
      </c>
      <c r="F11" s="4" t="inlineStr">
        <is>
          <t>Scope-control principle</t>
        </is>
      </c>
      <c r="G11" s="4" t="inlineStr">
        <is>
          <t>Map each point to a change, diagnostic, defense answer or reasoned non-change.</t>
        </is>
      </c>
    </row>
    <row r="12" ht="66" customHeight="1" s="40">
      <c r="A12" s="20" t="inlineStr">
        <is>
          <t>MG-09</t>
        </is>
      </c>
      <c r="B12" s="21" t="inlineStr">
        <is>
          <t>WhatsApp text, 24-Sep-2026</t>
        </is>
      </c>
      <c r="C12" s="21" t="inlineStr">
        <is>
          <t>Daniel report triage</t>
        </is>
      </c>
      <c r="D12" s="21" t="inlineStr">
        <is>
          <t>Daniel is less substantive than Ailin and Maximo. His main points are better hypothesis-result links, clearer explanations of counterintuitive signs, visible treatment of estimation problems already addressed, and minor bibliography corrections.</t>
        </is>
      </c>
      <c r="E12" s="21" t="inlineStr">
        <is>
          <t>MR-09, MR-11, MR-16, MR-19, MR-30-MR-34 / WP-07, WP-11, WP-13, WP-14</t>
        </is>
      </c>
      <c r="F12" s="21" t="inlineStr">
        <is>
          <t>Selective / secondary priority</t>
        </is>
      </c>
      <c r="G12" s="21" t="inlineStr">
        <is>
          <t>Do not redesign the model for Daniel. Implement targeted exposition, diagnostics visibility and bibliography clean-up after the core empirical work.</t>
        </is>
      </c>
    </row>
    <row r="13" ht="66" customHeight="1" s="40">
      <c r="A13" s="20" t="inlineStr">
        <is>
          <t>MG-10</t>
        </is>
      </c>
      <c r="B13" s="21" t="inlineStr">
        <is>
          <t>WhatsApp text, 24-Sep-2026</t>
        </is>
      </c>
      <c r="C13" s="21" t="inlineStr">
        <is>
          <t>SELIC - final disposition</t>
        </is>
      </c>
      <c r="D13" s="21" t="inlineStr">
        <is>
          <t>Do not include SELIC as a separate baseline regressor: beyond the redundancy argument, it anchors the short end of the local reference curve. A 3M Forward SELIC may be run only as a referee diagnostic under the later specified exclusions.</t>
        </is>
      </c>
      <c r="E13" s="21" t="inlineStr">
        <is>
          <t>MR-04, MR-26 / WP-04</t>
        </is>
      </c>
      <c r="F13" s="21" t="inlineStr">
        <is>
          <t>Baseline excluded; referee diagnostic only</t>
        </is>
      </c>
      <c r="G13" s="21" t="inlineStr">
        <is>
          <t>Explain the non-inclusion in the thesis/response; do not add SELIC mechanically. If run, keep SELIC 3M Forward outside the preferred baseline.</t>
        </is>
      </c>
    </row>
    <row r="14" ht="66" customHeight="1" s="40">
      <c r="A14" s="20" t="inlineStr">
        <is>
          <t>MG-11</t>
        </is>
      </c>
      <c r="B14" s="21" t="inlineStr">
        <is>
          <t>WhatsApp text, 24-Sep-2026</t>
        </is>
      </c>
      <c r="C14" s="21" t="inlineStr">
        <is>
          <t>Sovereign ceiling and matched-yield formulation</t>
        </is>
      </c>
      <c r="D14" s="21"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1" t="inlineStr">
        <is>
          <t>MR-01, MR-02 / WP-02</t>
        </is>
      </c>
      <c r="F14" s="21" t="inlineStr">
        <is>
          <t>Top substantive priority</t>
        </is>
      </c>
      <c r="G14" s="21" t="inlineStr">
        <is>
          <t>Add sovereign-ceiling framing, matching audit and literature justification for the preferred two-spread transmission specification; do not replace the dependent corporate spread with a direct corporate-sovereign differential.</t>
        </is>
      </c>
    </row>
    <row r="15" ht="66" customHeight="1" s="40">
      <c r="A15" s="20" t="inlineStr">
        <is>
          <t>MG-12</t>
        </is>
      </c>
      <c r="B15" s="21" t="inlineStr">
        <is>
          <t>WhatsApp text, 24-Sep-2026</t>
        </is>
      </c>
      <c r="C15" s="21" t="inlineStr">
        <is>
          <t>Bordeaux/Geneva estimator and specifications</t>
        </is>
      </c>
      <c r="D15" s="21" t="inlineStr">
        <is>
          <t>Present Driscoll-Kraay only, show diagnostic tests below, explain why PCSE is discarded, use the real exchange rate, and compare models with and without macro controls correlated with local sovereign risk.</t>
        </is>
      </c>
      <c r="E15" s="21" t="inlineStr">
        <is>
          <t>MR-16, MR-17, MR-18 / WP-07, WP-08, WP-16</t>
        </is>
      </c>
      <c r="F15" s="21" t="inlineStr">
        <is>
          <t>Seminar specification</t>
        </is>
      </c>
      <c r="G15" s="21" t="inlineStr">
        <is>
          <t>Prepare one DK-only main table plus diagnostics and clearly labeled with/without-control columns.</t>
        </is>
      </c>
    </row>
    <row r="16" ht="78" customHeight="1" s="40">
      <c r="A16" s="20" t="inlineStr">
        <is>
          <t>MG-13</t>
        </is>
      </c>
      <c r="B16" s="21" t="inlineStr">
        <is>
          <t>WhatsApp text, 25-Sep-2026</t>
        </is>
      </c>
      <c r="C16" s="21" t="inlineStr">
        <is>
          <t>PCSE rationale confirmed</t>
        </is>
      </c>
      <c r="D16" s="21" t="inlineStr">
        <is>
          <t>Martin accepts the explanation that the highly unbalanced panel and limited common temporal overlap make PCSE covariance estimation less reliable.</t>
        </is>
      </c>
      <c r="E16" s="21" t="inlineStr">
        <is>
          <t>MR-16, MR-17 / WP-07</t>
        </is>
      </c>
      <c r="F16" s="21" t="inlineStr">
        <is>
          <t>Confirmed exclusion</t>
        </is>
      </c>
      <c r="G16" s="21" t="inlineStr">
        <is>
          <t>State the rationale precisely; remove PCSE and the separate conventional-FE column from the main paper/seminar table.</t>
        </is>
      </c>
    </row>
    <row r="17" ht="78" customHeight="1" s="40">
      <c r="A17" s="20" t="inlineStr">
        <is>
          <t>MG-14</t>
        </is>
      </c>
      <c r="B17" s="21" t="inlineStr">
        <is>
          <t>WhatsApp text, 25-Sep-2026</t>
        </is>
      </c>
      <c r="C17" s="21" t="inlineStr">
        <is>
          <t>One-table output</t>
        </is>
      </c>
      <c r="D17" s="21" t="inlineStr">
        <is>
          <t>Produce one table similar to submitted Table 5, but exclude the plain FE and PCSE columns and use only FE with Driscoll-Kraay SE.</t>
        </is>
      </c>
      <c r="E17" s="21" t="inlineStr">
        <is>
          <t>MR-16, MR-18, MR-24 / WP-07, WP-08, WP-12</t>
        </is>
      </c>
      <c r="F17" s="21" t="inlineStr">
        <is>
          <t>Required paper/seminar output</t>
        </is>
      </c>
      <c r="G17" s="21" t="inlineStr">
        <is>
          <t>Use one consolidated table, diagnostics below, and the requested summary statistics.</t>
        </is>
      </c>
    </row>
    <row r="18" ht="78" customHeight="1" s="40">
      <c r="A18" s="20" t="inlineStr">
        <is>
          <t>MG-15</t>
        </is>
      </c>
      <c r="B18" s="21" t="inlineStr">
        <is>
          <t>WhatsApp text, 25-Sep-2026</t>
        </is>
      </c>
      <c r="C18" s="21" t="inlineStr">
        <is>
          <t>FED3M Forward - nominal, not old real series</t>
        </is>
      </c>
      <c r="D18" s="21" t="inlineStr">
        <is>
          <t>Do not use the previously constructed FED3M Forward Real: a three-month forward rate would require three-month expected U.S. inflation, not inflation published today/past inflation.</t>
        </is>
      </c>
      <c r="E18" s="21" t="inlineStr">
        <is>
          <t>MR-18 / WP-08</t>
        </is>
      </c>
      <c r="F18" s="21" t="inlineStr">
        <is>
          <t>Variable correction</t>
        </is>
      </c>
      <c r="G18" s="21" t="inlineStr">
        <is>
          <t>Use nominal FED3M Forward in the requested exercise; rebuild a real rate only with horizon-consistent expected inflation.</t>
        </is>
      </c>
    </row>
    <row r="19" ht="78" customHeight="1" s="40">
      <c r="A19" s="20" t="inlineStr">
        <is>
          <t>MG-16</t>
        </is>
      </c>
      <c r="B19" s="21" t="inlineStr">
        <is>
          <t>WhatsApp text, 25-Sep-2026</t>
        </is>
      </c>
      <c r="C19" s="21" t="inlineStr">
        <is>
          <t>SELIC rationale and optional checks</t>
        </is>
      </c>
      <c r="D19" s="21"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1" t="inlineStr">
        <is>
          <t>MR-04, MR-26 / WP-04, WP-08</t>
        </is>
      </c>
      <c r="F19" s="21" t="inlineStr">
        <is>
          <t>Baseline excluded; referee robustness optional</t>
        </is>
      </c>
      <c r="G19" s="21" t="inlineStr">
        <is>
          <t>Document both reasons and, if feasible, run the two scoped SELIC 3M Forward checks after the core table. Label them referee-only and retain in the paper only if they add useful information.</t>
        </is>
      </c>
    </row>
    <row r="20" ht="78" customHeight="1" s="40">
      <c r="A20" s="20" t="inlineStr">
        <is>
          <t>MG-17</t>
        </is>
      </c>
      <c r="B20" s="21" t="inlineStr">
        <is>
          <t>WhatsApp text, 25-Sep-2026</t>
        </is>
      </c>
      <c r="C20" s="21" t="inlineStr">
        <is>
          <t>Stacked variable blocks</t>
        </is>
      </c>
      <c r="D20" s="21" t="inlineStr">
        <is>
          <t>One referee requested specifications that begin with external variables, then add domestic macro and local sovereign risk, then firm/bond controls.</t>
        </is>
      </c>
      <c r="E20" s="21" t="inlineStr">
        <is>
          <t>MR-18 / WP-08</t>
        </is>
      </c>
      <c r="F20" s="21" t="inlineStr">
        <is>
          <t>Sequential specification principle</t>
        </is>
      </c>
      <c r="G20" s="21" t="inlineStr">
        <is>
          <t>Use a transparent block sequence, but confirm how it maps to the attached template, which keeps firm/bond controls in all core columns.</t>
        </is>
      </c>
    </row>
    <row r="21" ht="78" customHeight="1" s="40">
      <c r="A21" s="20" t="inlineStr">
        <is>
          <t>MG-18</t>
        </is>
      </c>
      <c r="B21" s="21" t="inlineStr">
        <is>
          <t>WhatsApp text, 25-Sep-2026</t>
        </is>
      </c>
      <c r="C21" s="21" t="inlineStr">
        <is>
          <t>FX and inflation interpretation</t>
        </is>
      </c>
      <c r="D21" s="21" t="inlineStr">
        <is>
          <t>Nominal and real exchange rates reportedly give almost the same result/significance. Under the matched corporate-sovereign yield differential, Martin does not want a separate inflation term; RER remains relevant as a relative price in changes.</t>
        </is>
      </c>
      <c r="E21" s="21" t="inlineStr">
        <is>
          <t>MR-01, MR-18, MR-26 / WP-02, WP-08</t>
        </is>
      </c>
      <c r="F21" s="21" t="inlineStr">
        <is>
          <t>Interpretation / robustness</t>
        </is>
      </c>
      <c r="G21" s="21" t="inlineStr">
        <is>
          <t>Verify the regenerated results, use RER in the designated robustness columns, and explain the inflation treatment without mixing real/nominal yield terminology.</t>
        </is>
      </c>
    </row>
    <row r="22" ht="78" customHeight="1" s="40">
      <c r="A22" s="20" t="inlineStr">
        <is>
          <t>MG-19</t>
        </is>
      </c>
      <c r="B22" s="21" t="inlineStr">
        <is>
          <t>WhatsApp text + attached table, 25-Sep-2026</t>
        </is>
      </c>
      <c r="C22" s="21" t="inlineStr">
        <is>
          <t>Exact grid and delivery target</t>
        </is>
      </c>
      <c r="D22" s="21" t="inlineStr">
        <is>
          <t>The attached table specifies four FE-DK columns and requests Within R-squared and rho. Martin asks whether the output can be ready by the following Wednesday.</t>
        </is>
      </c>
      <c r="E22" s="21" t="inlineStr">
        <is>
          <t>MR-18, MR-24 / WP-08, WP-12, WP-16</t>
        </is>
      </c>
      <c r="F22" s="21" t="inlineStr">
        <is>
          <t>Target: 30-Sep-2026</t>
        </is>
      </c>
      <c r="G22" s="21" t="inlineStr">
        <is>
          <t>Use the Estimation Plan sheet as the implementation checklist; confirm the NER/RER and stacking ambiguities before final execution.</t>
        </is>
      </c>
    </row>
    <row r="23" ht="78" customHeight="1" s="40">
      <c r="A23" s="20" t="inlineStr">
        <is>
          <t>MG-20</t>
        </is>
      </c>
      <c r="B23" s="21" t="inlineStr">
        <is>
          <t>WhatsApp audio, 25-Sep-2026</t>
        </is>
      </c>
      <c r="C23" s="21" t="inlineStr">
        <is>
          <t>Sovereign Risk (BRL) - definitive construction</t>
        </is>
      </c>
      <c r="D23" s="21"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1" t="inlineStr">
        <is>
          <t>MR-01, MR-02 / WP-02</t>
        </is>
      </c>
      <c r="F23" s="21" t="inlineStr">
        <is>
          <t>Definition confirmed; terminology corrected</t>
        </is>
      </c>
      <c r="G23" s="21" t="inlineStr">
        <is>
          <t>Audit implementation before re-estimation; match maturity/tenor and consistent currency/indexation; rename the variable throughout; document the common-reference two-spread specification; verify USD CDS 5Y is absent from the model.</t>
        </is>
      </c>
    </row>
    <row r="24" ht="78" customHeight="1" s="40">
      <c r="A24" s="20" t="inlineStr">
        <is>
          <t>MG-21</t>
        </is>
      </c>
      <c r="B24" s="21" t="inlineStr">
        <is>
          <t>WhatsApp audio, 27-Sep-2026</t>
        </is>
      </c>
      <c r="C24" s="21" t="inlineStr">
        <is>
          <t>Common-reference two-spread specification and referee-only SELIC check</t>
        </is>
      </c>
      <c r="D24" s="21"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1" t="inlineStr">
        <is>
          <t>MR-01, MR-02, MR-04, MR-18 / WP-02, WP-04, WP-08</t>
        </is>
      </c>
      <c r="F24" s="21" t="inlineStr">
        <is>
          <t>Preferred specification confirmed</t>
        </is>
      </c>
      <c r="G24" s="21" t="inlineStr">
        <is>
          <t>Document both spread equations and the common-reference logic; justify the separate-regressor specification with literature; verify USD CDS 5Y is absent; keep SELIC 3M Forward secondary/referee-only.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0F6B78"/>
    <outlinePr summaryBelow="1" summaryRight="1"/>
    <pageSetUpPr/>
  </sheetPr>
  <dimension ref="A1:G19"/>
  <sheetViews>
    <sheetView showGridLines="0" workbookViewId="0">
      <selection activeCell="A1" sqref="A1"/>
    </sheetView>
  </sheetViews>
  <sheetFormatPr baseColWidth="8" defaultRowHeight="14.5"/>
  <cols>
    <col width="14" customWidth="1" style="40" min="1" max="1"/>
    <col width="22" customWidth="1" style="40" min="2" max="2"/>
    <col width="36" customWidth="1" style="40" min="3" max="3"/>
    <col width="62" customWidth="1" style="40" min="4" max="4"/>
    <col width="30" customWidth="1" style="40" min="5" max="5"/>
    <col width="62" customWidth="1" style="40" min="6" max="6"/>
    <col width="48" customWidth="1" style="40" min="7" max="7"/>
  </cols>
  <sheetData>
    <row r="1" ht="26" customHeight="1" s="40">
      <c r="A1" s="45" t="inlineStr">
        <is>
          <t>Overlap Map</t>
        </is>
      </c>
    </row>
    <row r="2" ht="34" customHeight="1" s="40">
      <c r="A2" s="48" t="inlineStr">
        <is>
          <t>Shows where jurors raise the same underlying problem and defines one unified resolution to prevent duplicate work.</t>
        </is>
      </c>
    </row>
    <row r="3" ht="34" customHeight="1" s="40">
      <c r="A3" s="3" t="inlineStr">
        <is>
          <t>Overlap group</t>
        </is>
      </c>
      <c r="B3" s="3" t="inlineStr">
        <is>
          <t>Cross-juror overlap?</t>
        </is>
      </c>
      <c r="C3" s="3" t="inlineStr">
        <is>
          <t>Theme</t>
        </is>
      </c>
      <c r="D3" s="3" t="inlineStr">
        <is>
          <t>What the reports/director say</t>
        </is>
      </c>
      <c r="E3" s="3" t="inlineStr">
        <is>
          <t>Master issue IDs</t>
        </is>
      </c>
      <c r="F3" s="3" t="inlineStr">
        <is>
          <t>Unified resolution</t>
        </is>
      </c>
      <c r="G3" s="3" t="inlineStr">
        <is>
          <t>Duplication-control note</t>
        </is>
      </c>
    </row>
    <row r="4" ht="66" customHeight="1" s="40">
      <c r="A4" s="4" t="inlineStr">
        <is>
          <t>OG-01</t>
        </is>
      </c>
      <c r="B4" s="4" t="inlineStr">
        <is>
          <t>Yes</t>
        </is>
      </c>
      <c r="C4" s="4" t="inlineStr">
        <is>
          <t>Sovereign measure construction, sovereign ceiling and interpretation</t>
        </is>
      </c>
      <c r="D4" s="4"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4" t="inlineStr">
        <is>
          <t>MR-01, MR-02</t>
        </is>
      </c>
      <c r="F4" s="4" t="inlineStr">
        <is>
          <t>Closed 29-Sep-2026: nominal sovereign formula, same-date exact-tenor matching, DI source hierarchy and spread arithmetic validated; sovereign_spread_brl terminology adopted; CDS language removed; corporate IPCA-real versus nominal sovereign DI indexation/reference-curve distinction documented; two-spread sovereign-ceiling logic explained. Final coefficient refresh is downstream of the remaining regressor audits.</t>
        </is>
      </c>
      <c r="G4" s="4" t="inlineStr">
        <is>
          <t>Do not create a new CDS-like proxy. Do not reopen WP-02 when final regressions are rerun; only refresh coefficients/interpretation using the frozen explanatory-variable set.</t>
        </is>
      </c>
    </row>
    <row r="5" ht="66" customHeight="1" s="40">
      <c r="A5" s="4" t="inlineStr">
        <is>
          <t>OG-02</t>
        </is>
      </c>
      <c r="B5" s="4" t="inlineStr">
        <is>
          <t>No - Ailin</t>
        </is>
      </c>
      <c r="C5" s="4" t="inlineStr">
        <is>
          <t>Spread construction and real-curve exposure</t>
        </is>
      </c>
      <c r="D5" s="4" t="inlineStr">
        <is>
          <t>Arithmetic spread, implicit beta=1, missing real-rate factors and full Fama-MacBeth ideal.</t>
        </is>
      </c>
      <c r="E5" s="4" t="inlineStr">
        <is>
          <t>MR-03, MR-04, MR-05</t>
        </is>
      </c>
      <c r="F5" s="4" t="inlineStr">
        <is>
          <t>Recalculate spreads; justify baseline SELIC non-inclusion; if useful, run only the two scoped SELIC 3M Forward referee checks; use bounded real-curve diagnostics; leave Fama-MacBeth as future research.</t>
        </is>
      </c>
      <c r="G5" s="4" t="inlineStr">
        <is>
          <t>MR-03 precedes every re-estimation; SELIC 3M Forward is diagnostic only, not a baseline redesign.</t>
        </is>
      </c>
    </row>
    <row r="6" ht="66" customHeight="1" s="40">
      <c r="A6" s="4" t="inlineStr">
        <is>
          <t>OG-03</t>
        </is>
      </c>
      <c r="B6" s="4" t="inlineStr">
        <is>
          <t>Yes</t>
        </is>
      </c>
      <c r="C6" s="4" t="inlineStr">
        <is>
          <t>Heterogeneous sovereign transmission and ratings</t>
        </is>
      </c>
      <c r="D6" s="4" t="inlineStr">
        <is>
          <t>Ailin/Maximo/Daniel criticize one average coefficient followed by heterogeneous explanations.</t>
        </is>
      </c>
      <c r="E6" s="4" t="inlineStr">
        <is>
          <t>MR-06, MR-07, MR-08</t>
        </is>
      </c>
      <c r="F6" s="4" t="inlineStr">
        <is>
          <t>Use parsimonious rating and sector groups; issuer/bond slopes only where powered; events optional.</t>
        </is>
      </c>
      <c r="G6" s="4" t="inlineStr">
        <is>
          <t>One grouped table can answer multiple comments.</t>
        </is>
      </c>
    </row>
    <row r="7" ht="66" customHeight="1" s="40">
      <c r="A7" s="4" t="inlineStr">
        <is>
          <t>OG-04</t>
        </is>
      </c>
      <c r="B7" s="4" t="inlineStr">
        <is>
          <t>Yes</t>
        </is>
      </c>
      <c r="C7" s="4" t="inlineStr">
        <is>
          <t>VIX and global-risk proxy</t>
        </is>
      </c>
      <c r="D7" s="4" t="inlineStr">
        <is>
          <t>Both main jurors question the proxy; Daniel asks for direct hypothesis/sign interpretation.</t>
        </is>
      </c>
      <c r="E7" s="4" t="inlineStr">
        <is>
          <t>MR-09, MR-10</t>
        </is>
      </c>
      <c r="F7" s="4" t="inlineStr">
        <is>
          <t>Closed proxy/data-definition portion: retain VIX as an S&amp;P 500 implied-volatility / global-financial-stress proxy, not pure risk aversion; large PCA rebuild rejected. VIX data mapping/scaling and the companion Fed 3M Forward control are fully audited. Post-freeze correlations/sequential DK and final VIX sign interpretation are handled under MR-18/MR-19.</t>
        </is>
      </c>
      <c r="G7" s="4" t="inlineStr">
        <is>
          <t>Do not reopen MR-09 during the final rerun; use MR-18 for correlations/coefficient movement and MR-19 for the final hypothesis/sign narrative.</t>
        </is>
      </c>
    </row>
    <row r="8" ht="66" customHeight="1" s="40">
      <c r="A8" s="4" t="inlineStr">
        <is>
          <t>OG-05</t>
        </is>
      </c>
      <c r="B8" s="4" t="inlineStr">
        <is>
          <t>Ailin + Daniel</t>
        </is>
      </c>
      <c r="C8" s="4" t="inlineStr">
        <is>
          <t>Asset-pricing and literature bridge</t>
        </is>
      </c>
      <c r="D8" s="4" t="inlineStr">
        <is>
          <t>Ailin asks for factor/stale-price literature; Daniel asks for a more critical review.</t>
        </is>
      </c>
      <c r="E8" s="4" t="inlineStr">
        <is>
          <t>MR-11</t>
        </is>
      </c>
      <c r="F8" s="4" t="inlineStr">
        <is>
          <t>Add concise, purpose-driven literature tied to actual tests and closest studies.</t>
        </is>
      </c>
      <c r="G8" s="4" t="inlineStr">
        <is>
          <t>Do not turn the revision into a theory survey.</t>
        </is>
      </c>
    </row>
    <row r="9" ht="66" customHeight="1" s="40">
      <c r="A9" s="4" t="inlineStr">
        <is>
          <t>OG-06</t>
        </is>
      </c>
      <c r="B9" s="4" t="inlineStr">
        <is>
          <t>Maximo + Daniel</t>
        </is>
      </c>
      <c r="C9" s="4" t="inlineStr">
        <is>
          <t>Causality versus association</t>
        </is>
      </c>
      <c r="D9" s="4" t="inlineStr">
        <is>
          <t>Both reports flag causal overstatement.</t>
        </is>
      </c>
      <c r="E9" s="4" t="inlineStr">
        <is>
          <t>MR-12</t>
        </is>
      </c>
      <c r="F9" s="4" t="inlineStr">
        <is>
          <t>Global wording audit after final results.</t>
        </is>
      </c>
      <c r="G9" s="4" t="inlineStr">
        <is>
          <t>Low effort, high credibility.</t>
        </is>
      </c>
    </row>
    <row r="10" ht="66" customHeight="1" s="40">
      <c r="A10" s="4" t="inlineStr">
        <is>
          <t>OG-07</t>
        </is>
      </c>
      <c r="B10" s="4" t="inlineStr">
        <is>
          <t>Maximo + Daniel</t>
        </is>
      </c>
      <c r="C10" s="4" t="inlineStr">
        <is>
          <t>Identifying variation and issue-size identification</t>
        </is>
      </c>
      <c r="D10" s="4" t="inlineStr">
        <is>
          <t>Monthly common factors, unbalanced bond histories and possible time-invariant issue size.</t>
        </is>
      </c>
      <c r="E10" s="4" t="inlineStr">
        <is>
          <t>MR-13, MR-14, MR-15</t>
        </is>
      </c>
      <c r="F10" s="4" t="inlineStr">
        <is>
          <t>WP-03/MR-14 closed 30-Sep-2026: relative issue size reconstructed and shown to vary within 98/103 bonds; units/timing/FE interpretation documented. Remaining MR-13/MR-15 work is to report panel dimensions/coverage and state FE limits in WP-10.</t>
        </is>
      </c>
      <c r="G10" s="4" t="inlineStr">
        <is>
          <t>Do not reopen the issue-size construction audit in WP-10; use the completed WP-03 evidence and focus WP-10 on broader identifying variation and panel imbalance.</t>
        </is>
      </c>
    </row>
    <row r="11" ht="66" customHeight="1" s="40">
      <c r="A11" s="4" t="inlineStr">
        <is>
          <t>OG-08</t>
        </is>
      </c>
      <c r="B11" s="4" t="inlineStr">
        <is>
          <t>Cross-juror synthesis</t>
        </is>
      </c>
      <c r="C11" s="4" t="inlineStr">
        <is>
          <t>Estimator, diagnostics, sequential specifications and final significance</t>
        </is>
      </c>
      <c r="D11" s="4" t="inlineStr">
        <is>
          <t>Maximo provides the detailed DK/PCSE critique; Daniel asks for estimator-problem visibility; Martin specifies the exact 25-Sep one-table output.</t>
        </is>
      </c>
      <c r="E11" s="4" t="inlineStr">
        <is>
          <t>MR-16, MR-17, MR-18, MR-19</t>
        </is>
      </c>
      <c r="F11" s="4" t="inlineStr">
        <is>
          <t>Use one FE-DK table only, show diagnostics, discard PCSE/plain FE columns, use nominal FED3M, run the specified sovereign/macro and FX variants, then rewrite results.</t>
        </is>
      </c>
      <c r="G11" s="4" t="inlineStr">
        <is>
          <t>Do this once after the spread is frozen; confirm the two source-template ambiguities before coding.</t>
        </is>
      </c>
    </row>
    <row r="12" ht="66" customHeight="1" s="40">
      <c r="A12" s="4" t="inlineStr">
        <is>
          <t>OG-09</t>
        </is>
      </c>
      <c r="B12" s="4" t="inlineStr">
        <is>
          <t>Maximo + Daniel</t>
        </is>
      </c>
      <c r="C12" s="4" t="inlineStr">
        <is>
          <t>Persistence, levels and citation support</t>
        </is>
      </c>
      <c r="D12" s="4" t="inlineStr">
        <is>
          <t>Questions on stationarity/dynamics plus inaccurate citation use.</t>
        </is>
      </c>
      <c r="E12" s="4" t="inlineStr">
        <is>
          <t>MR-20, MR-21</t>
        </is>
      </c>
      <c r="F12" s="4" t="inlineStr">
        <is>
          <t>Correct the citation; provide a bounded static-model response; no dynamic redesign.</t>
        </is>
      </c>
      <c r="G12" s="4" t="inlineStr">
        <is>
          <t>Separate the valid citation fix from the non-endorsed extension.</t>
        </is>
      </c>
    </row>
    <row r="13" ht="66" customHeight="1" s="40">
      <c r="A13" s="4" t="inlineStr">
        <is>
          <t>OG-10</t>
        </is>
      </c>
      <c r="B13" s="4" t="inlineStr">
        <is>
          <t>Maximo; reinforced by Daniel sensitivity</t>
        </is>
      </c>
      <c r="C13" s="4" t="inlineStr">
        <is>
          <t>Regression-table accuracy and completeness</t>
        </is>
      </c>
      <c r="D13" s="4" t="inlineStr">
        <is>
          <t>Significance mismatch, PCSE claim and missing SE/N.</t>
        </is>
      </c>
      <c r="E13" s="4" t="inlineStr">
        <is>
          <t>MR-22, MR-23, MR-24</t>
        </is>
      </c>
      <c r="F13" s="4" t="inlineStr">
        <is>
          <t>One final consolidated FE-DK table with SE/N/panel dimensions, within R2, rho, DK metadata and a table-to-text QA pass.</t>
        </is>
      </c>
      <c r="G13" s="4" t="inlineStr">
        <is>
          <t>Do not repair old tables before final estimates.</t>
        </is>
      </c>
    </row>
    <row r="14" ht="66" customHeight="1" s="40">
      <c r="A14" s="4" t="inlineStr">
        <is>
          <t>OG-11</t>
        </is>
      </c>
      <c r="B14" s="4" t="inlineStr">
        <is>
          <t>Yes</t>
        </is>
      </c>
      <c r="C14" s="4" t="inlineStr">
        <is>
          <t>Untested narratives, Brazil mechanisms and final contribution</t>
        </is>
      </c>
      <c r="D14" s="4" t="inlineStr">
        <is>
          <t>Ailin emphasizes stale pricing/Brazil institutions; Maximo demands tests; Daniel asks for sign and hypothesis-result clarity.</t>
        </is>
      </c>
      <c r="E14" s="4" t="inlineStr">
        <is>
          <t>MR-25, MR-26, MR-30</t>
        </is>
      </c>
      <c r="F14" s="4" t="inlineStr">
        <is>
          <t>Test what is feasible, label mechanisms, and rewrite contribution around final evidence.</t>
        </is>
      </c>
      <c r="G14" s="4" t="inlineStr">
        <is>
          <t>One integrated final narrative addresses all three.</t>
        </is>
      </c>
    </row>
    <row r="15" ht="66" customHeight="1" s="40">
      <c r="A15" s="4" t="inlineStr">
        <is>
          <t>OG-12</t>
        </is>
      </c>
      <c r="B15" s="4" t="inlineStr">
        <is>
          <t>Ailin</t>
        </is>
      </c>
      <c r="C15" s="4" t="inlineStr">
        <is>
          <t>Reproducibility and provenance</t>
        </is>
      </c>
      <c r="D15" s="4" t="inlineStr">
        <is>
          <t>Complete pipeline and distinction between original sources and Bloomberg access.</t>
        </is>
      </c>
      <c r="E15" s="4" t="inlineStr">
        <is>
          <t>MR-27, MR-28</t>
        </is>
      </c>
      <c r="F15" s="4" t="inlineStr">
        <is>
          <t>Build one replication package and data dictionary.</t>
        </is>
      </c>
      <c r="G15" s="4" t="inlineStr">
        <is>
          <t>Submission deliverable, not just prose.</t>
        </is>
      </c>
    </row>
    <row r="16" ht="66" customHeight="1" s="40">
      <c r="A16" s="4" t="inlineStr">
        <is>
          <t>OG-13</t>
        </is>
      </c>
      <c r="B16" s="4" t="inlineStr">
        <is>
          <t>Ailin</t>
        </is>
      </c>
      <c r="C16" s="4" t="inlineStr">
        <is>
          <t>Corporate versus sovereign breakevens</t>
        </is>
      </c>
      <c r="D16" s="4" t="inlineStr">
        <is>
          <t>Large new curve project.</t>
        </is>
      </c>
      <c r="E16" s="4" t="inlineStr">
        <is>
          <t>MR-29</t>
        </is>
      </c>
      <c r="F16" s="4" t="inlineStr">
        <is>
          <t>Future research only.</t>
        </is>
      </c>
      <c r="G16" s="4" t="inlineStr">
        <is>
          <t>Do not duplicate the core sovereign correction.</t>
        </is>
      </c>
    </row>
    <row r="17" ht="66" customHeight="1" s="40">
      <c r="A17" s="4" t="inlineStr">
        <is>
          <t>OG-14</t>
        </is>
      </c>
      <c r="B17" s="4" t="inlineStr">
        <is>
          <t>Daniel synthesis</t>
        </is>
      </c>
      <c r="C17" s="4" t="inlineStr">
        <is>
          <t>Research gap, central question, theory-to-proxy and hypothesis architecture</t>
        </is>
      </c>
      <c r="D17" s="4" t="inlineStr">
        <is>
          <t>Daniel asks for demonstrated originality and a manageable hypothesis structure.</t>
        </is>
      </c>
      <c r="E17" s="4" t="inlineStr">
        <is>
          <t>MR-31, MR-32; linked MR-30</t>
        </is>
      </c>
      <c r="F17" s="4" t="inlineStr">
        <is>
          <t>Selective exposition rewrite after empirical freeze; one main question, closest-study comparison and hypothesis scorecard.</t>
        </is>
      </c>
      <c r="G17" s="4" t="inlineStr">
        <is>
          <t>Secondary to Maximo-driven measurement/inference work.</t>
        </is>
      </c>
    </row>
    <row r="18" ht="66" customHeight="1" s="40">
      <c r="A18" s="4" t="inlineStr">
        <is>
          <t>OG-15</t>
        </is>
      </c>
      <c r="B18" s="4" t="inlineStr">
        <is>
          <t>Daniel</t>
        </is>
      </c>
      <c r="C18" s="4" t="inlineStr">
        <is>
          <t>Academic style and terminology consistency</t>
        </is>
      </c>
      <c r="D18" s="4" t="inlineStr">
        <is>
          <t>Final language, econometric precision and multilingual consistency.</t>
        </is>
      </c>
      <c r="E18" s="4" t="inlineStr">
        <is>
          <t>MR-33</t>
        </is>
      </c>
      <c r="F18" s="4" t="inlineStr">
        <is>
          <t>One controlled final copy-edit.</t>
        </is>
      </c>
      <c r="G18" s="4" t="inlineStr">
        <is>
          <t>Do not copy-edit unstable result prose twice.</t>
        </is>
      </c>
    </row>
    <row r="19" ht="66" customHeight="1" s="40">
      <c r="A19" s="4" t="inlineStr">
        <is>
          <t>OG-16</t>
        </is>
      </c>
      <c r="B19" s="4" t="inlineStr">
        <is>
          <t>Daniel; complements Ailin</t>
        </is>
      </c>
      <c r="C19" s="4" t="inlineStr">
        <is>
          <t>Critical and recent comparable literature</t>
        </is>
      </c>
      <c r="D19" s="4" t="inlineStr">
        <is>
          <t>Bibliometrics do not replace direct comparison with relevant empirical work.</t>
        </is>
      </c>
      <c r="E19" s="4" t="inlineStr">
        <is>
          <t>MR-34; linked MR-11 and MR-31</t>
        </is>
      </c>
      <c r="F19" s="4" t="inlineStr">
        <is>
          <t>Make minor, targeted bibliography corrections and a compact closest-study comparison.</t>
        </is>
      </c>
      <c r="G19" s="4" t="inlineStr">
        <is>
          <t>Keep additions purpose-driven and bounded.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0F6B78"/>
    <outlinePr summaryBelow="1" summaryRight="1"/>
    <pageSetUpPr/>
  </sheetPr>
  <dimension ref="A1:G10"/>
  <sheetViews>
    <sheetView showGridLines="0" workbookViewId="0">
      <selection activeCell="A1" sqref="A1"/>
    </sheetView>
  </sheetViews>
  <sheetFormatPr baseColWidth="8" defaultRowHeight="14.5"/>
  <cols>
    <col width="9" customWidth="1" style="40" min="1" max="1"/>
    <col width="31" customWidth="1" style="40" min="2" max="2"/>
    <col width="42" customWidth="1" style="40" min="3" max="3"/>
    <col width="68" customWidth="1" style="40" min="4" max="4"/>
    <col width="46" customWidth="1" style="40" min="5" max="5"/>
    <col width="31" customWidth="1" style="40" min="6" max="6"/>
    <col width="58" customWidth="1" style="40" min="7" max="7"/>
  </cols>
  <sheetData>
    <row r="1" ht="26" customHeight="1" s="40">
      <c r="A1" s="45" t="inlineStr">
        <is>
          <t>Action Sequence</t>
        </is>
      </c>
    </row>
    <row r="2" ht="36" customHeight="1" s="40">
      <c r="A2" s="48" t="inlineStr">
        <is>
          <t>Dependency-based workflow updated 2-Oct-2026 after completion of the VIX audit and all six Fed 3M Forward audit stages. This is the order that minimizes rework, not an effort estimate.</t>
        </is>
      </c>
    </row>
    <row r="3" ht="34" customHeight="1" s="40">
      <c r="A3" s="3" t="inlineStr">
        <is>
          <t>Order</t>
        </is>
      </c>
      <c r="B3" s="3" t="inlineStr">
        <is>
          <t>Phase</t>
        </is>
      </c>
      <c r="C3" s="3" t="inlineStr">
        <is>
          <t>Master issue IDs</t>
        </is>
      </c>
      <c r="D3" s="3" t="inlineStr">
        <is>
          <t>Core tasks</t>
        </is>
      </c>
      <c r="E3" s="3" t="inlineStr">
        <is>
          <t>Deliverable</t>
        </is>
      </c>
      <c r="F3" s="3" t="inlineStr">
        <is>
          <t>Dependency</t>
        </is>
      </c>
      <c r="G3" s="3" t="inlineStr">
        <is>
          <t>Gate / decision rule</t>
        </is>
      </c>
    </row>
    <row r="4" ht="72" customHeight="1" s="40">
      <c r="A4" s="4" t="n">
        <v>0</v>
      </c>
      <c r="B4" s="4" t="inlineStr">
        <is>
          <t>Governance and baseline</t>
        </is>
      </c>
      <c r="C4" s="4" t="inlineStr">
        <is>
          <t>MR-27, MR-30</t>
        </is>
      </c>
      <c r="D4" s="4" t="inlineStr">
        <is>
          <t>Freeze the submitted thesis, code, data and outputs; maintain a response memo keyed to master IDs.</t>
        </is>
      </c>
      <c r="E4" s="4" t="inlineStr">
        <is>
          <t>Baseline archive + response memo shell</t>
        </is>
      </c>
      <c r="F4" s="4" t="n"/>
      <c r="G4" s="4" t="inlineStr">
        <is>
          <t>Do not edit the only submitted copy.</t>
        </is>
      </c>
    </row>
    <row r="5" ht="72" customHeight="1" s="40">
      <c r="A5" s="4" t="n">
        <v>1</v>
      </c>
      <c r="B5" s="4" t="inlineStr">
        <is>
          <t>Data and measurement audit</t>
        </is>
      </c>
      <c r="C5" s="4" t="inlineStr">
        <is>
          <t>MR-01, MR-02, MR-03, MR-14, MR-28</t>
        </is>
      </c>
      <c r="D5" s="4" t="inlineStr">
        <is>
          <t>WP-01 corporate-spread measurement, WP-02 Sovereign Risk (BRL), and WP-03 relative issue-size identification are closed. Proceed through the remaining baseline explanatory-variable audits before rebuilding/finalizing the econometric panel. No final baseline or robustness specification should be rerun while the common regressor set can still change.</t>
        </is>
      </c>
      <c r="E5" s="4" t="inlineStr">
        <is>
          <t>Verified corporate spread + closed sovereign_spread_brl package + closed relative issue-size audit</t>
        </is>
      </c>
      <c r="F5" s="4" t="inlineStr">
        <is>
          <t>Phase 0</t>
        </is>
      </c>
      <c r="G5" s="4" t="inlineStr">
        <is>
          <t>Econometric Panel Data Freeze Gate applies after the measurement work: finish or explicitly accept unchanged every baseline explanatory-variable audit, then freeze one authoritative panel and perform the final code/specification integrity search.</t>
        </is>
      </c>
    </row>
    <row r="6" ht="80" customHeight="1" s="40">
      <c r="A6" s="4" t="n">
        <v>2</v>
      </c>
      <c r="B6" s="4" t="inlineStr">
        <is>
          <t>Explanatory-variable audit and Econometric Panel Data Freeze Gate</t>
        </is>
      </c>
      <c r="C6" s="4" t="inlineStr">
        <is>
          <t>MR-09 pre-freeze block closed; VIX/Fed/USD-BRL complete; GDP YoY current; MR-04 robustness parked; remaining baseline regressors</t>
        </is>
      </c>
      <c r="D6" s="4" t="inlineStr">
        <is>
          <t>VIX, nominal Fed 3M Forward and nominal USD/BRL have passed the full six-step pre-freeze audit. USD/BRL is USDBRL Curncy in the macro source, with uninterrupted monthly history over the thesis window, last-weekday month-end convention, exact 4,229-row / 164-month panel matching, direct BRL-per-USD level scaling and clarified depreciation semantics; the missing upstream Bloomberg formula is documented as a provenance limitation. CURRENT: audit GDP YoY using the same sequence, then continue through the remaining baseline explanatory variables. If the final core table substitutes RER for NER, audit the RER construction before freeze. WP-04 Brazil 3M DI data preparation is complete, but its merge/Models 5-6 remain deferred until after the final panel is frozen.</t>
        </is>
      </c>
      <c r="E6" s="4" t="inlineStr">
        <is>
          <t>Audited/frozen baseline regressor set + documented robustness-only Brazil 3M DI series/design</t>
        </is>
      </c>
      <c r="F6" s="4" t="inlineStr">
        <is>
          <t>Phase 1</t>
        </is>
      </c>
      <c r="G6" s="4" t="inlineStr">
        <is>
          <t>Freeze variables before looking at new final results. Gate passes only when every baseline explanatory variable is audited or explicitly accepted unchanged and panel_main_and_robustness.xlsx is rebuilt/frozen as the authoritative econometric input.</t>
        </is>
      </c>
    </row>
    <row r="7" ht="72" customHeight="1" s="40">
      <c r="A7" s="4" t="n">
        <v>3</v>
      </c>
      <c r="B7" s="4" t="inlineStr">
        <is>
          <t>Econometric reset</t>
        </is>
      </c>
      <c r="C7" s="4" t="inlineStr">
        <is>
          <t>MR-16, MR-17, MR-18, optional MR-20</t>
        </is>
      </c>
      <c r="D7" s="4" t="inlineStr">
        <is>
          <t>AFTER DATA FREEZE: use one FE-DK table only; remove plain FE/PCSE columns; use finalized nominal FED3M and other audited regressors; run the exact four-model sovereign/macro/FX grid; then diagnostics and referee-only SELIC/Brazil 3M DI checks.</t>
        </is>
      </c>
      <c r="E7" s="4" t="inlineStr">
        <is>
          <t>Single four-model DK table + optional referee-only SELIC columns + logs/diagnostics</t>
        </is>
      </c>
      <c r="F7" s="4" t="inlineStr">
        <is>
          <t>Phase 2</t>
        </is>
      </c>
      <c r="G7" s="4" t="inlineStr">
        <is>
          <t>Do not begin Phase 2 until the Data Freeze Gate passes. Confirm NER/RER and stacking ambiguities, rerun the baseline once on the frozen panel, then execute targeted robustness specifications.</t>
        </is>
      </c>
    </row>
    <row r="8" ht="72" customHeight="1" s="40">
      <c r="A8" s="4" t="n">
        <v>4</v>
      </c>
      <c r="B8" s="4" t="inlineStr">
        <is>
          <t>Literature, methods and framing</t>
        </is>
      </c>
      <c r="C8" s="4" t="inlineStr">
        <is>
          <t>MR-11, MR-12, MR-13, MR-15, MR-21, MR-26, MR-31, MR-32, MR-34</t>
        </is>
      </c>
      <c r="D8" s="4" t="inlineStr">
        <is>
          <t>Correct causal language/citations; explain panel balance; sharpen gap/question; create construct-proxy map; add bounded literature and Brazil mechanisms.</t>
        </is>
      </c>
      <c r="E8" s="4" t="inlineStr">
        <is>
          <t>Revised Introduction and Chapters 3-4</t>
        </is>
      </c>
      <c r="F8" s="4" t="inlineStr">
        <is>
          <t>Can proceed partly in parallel; final wording after Phase 3</t>
        </is>
      </c>
      <c r="G8" s="4" t="inlineStr">
        <is>
          <t>Keep evidence separate from mechanisms; no theoretical redesign.</t>
        </is>
      </c>
    </row>
    <row r="9" ht="72" customHeight="1" s="40">
      <c r="A9" s="4" t="n">
        <v>5</v>
      </c>
      <c r="B9" s="4" t="inlineStr">
        <is>
          <t>Results and conclusion rewrite</t>
        </is>
      </c>
      <c r="C9" s="4" t="inlineStr">
        <is>
          <t>MR-19, MR-22, MR-24, MR-30, MR-33</t>
        </is>
      </c>
      <c r="D9" s="4" t="inlineStr">
        <is>
          <t>Rebuild tables; link every hypothesis to final results; explain counterintuitive signs; add scorecard and final QA.</t>
        </is>
      </c>
      <c r="E9" s="4" t="inlineStr">
        <is>
          <t>Revised Chapters 5-6, abstract/resumen and copy-edit</t>
        </is>
      </c>
      <c r="F9" s="4" t="inlineStr">
        <is>
          <t>Phases 3 and 4</t>
        </is>
      </c>
      <c r="G9" s="4" t="inlineStr">
        <is>
          <t>Run table-to-text, hypothesis-to-result and terminology checks.</t>
        </is>
      </c>
    </row>
    <row r="10" ht="72" customHeight="1" s="40">
      <c r="A10" s="4" t="n">
        <v>6</v>
      </c>
      <c r="B10" s="4" t="inlineStr">
        <is>
          <t>Replication, response and seminars</t>
        </is>
      </c>
      <c r="C10" s="4" t="inlineStr">
        <is>
          <t>MR-27, MR-30, MR-31, MR-32; response-only MR-05, MR-08, MR-10, MR-20, MR-29</t>
        </is>
      </c>
      <c r="D10" s="4" t="inlineStr">
        <is>
          <t>Clean-run the package; finalize a three-juror response memo; prepare the agreed single DK table and concise Bordeaux/Geneva materials; confirm exact resubmission deadline/branch.</t>
        </is>
      </c>
      <c r="E10" s="4" t="inlineStr">
        <is>
          <t>Submission-ready thesis + package + response memo + agreed seminar table/deck + deadline checklist</t>
        </is>
      </c>
      <c r="F10" s="4" t="inlineStr">
        <is>
          <t>All prior phases</t>
        </is>
      </c>
      <c r="G10" s="4" t="inlineStr">
        <is>
          <t>Every comment has a change or reasoned non-change; deadlines and formal resolutions are confirmed.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2F75B5"/>
    <outlinePr summaryBelow="1" summaryRight="1"/>
    <pageSetUpPr/>
  </sheetPr>
  <dimension ref="A1:G46"/>
  <sheetViews>
    <sheetView showGridLines="0" workbookViewId="0">
      <selection activeCell="A1" sqref="A1"/>
    </sheetView>
  </sheetViews>
  <sheetFormatPr baseColWidth="8" defaultRowHeight="14.5"/>
  <cols>
    <col width="31" customWidth="1" style="40" min="1" max="1"/>
    <col width="15" customWidth="1" style="40" min="2" max="5"/>
    <col width="20" customWidth="1" style="40" min="6" max="6"/>
    <col width="60" customWidth="1" style="40" min="7" max="7"/>
  </cols>
  <sheetData>
    <row r="1" ht="28" customHeight="1" s="40">
      <c r="A1" s="53" t="inlineStr">
        <is>
          <t>Paper/Seminar Estimation Plan - updated 2-Oct-2026 (Data Freeze Gate active)</t>
        </is>
      </c>
    </row>
    <row r="2" ht="48" customHeight="1" s="40">
      <c r="A2" s="54" t="inlineStr">
        <is>
          <t>Source: Martin Grandes WhatsApp messages through 27-Sep-2026 plus completed WP-02/WP-03 work, the WP-04 data package, and completed pre-freeze audits for VIX, nominal Fed 3M Forward and nominal USD/BRL. Core output remains one FE-Driscoll-Kraay table, but estimation is intentionally deferred until the Econometric Panel Data Freeze Gate passes. Current audit: GDP YoY, followed by the remaining baseline regressors. If RER is used in the final core specification, its construction must be audited separately before panel freeze. WP-04 Brazil 3M DI data remain ready for later referee-only robustness after the panel freeze.</t>
        </is>
      </c>
    </row>
    <row r="3">
      <c r="A3" s="26" t="n"/>
      <c r="B3" s="26" t="n"/>
      <c r="C3" s="26" t="n"/>
      <c r="D3" s="26" t="n"/>
      <c r="E3" s="26" t="n"/>
      <c r="F3" s="26" t="n"/>
      <c r="G3" s="26" t="n"/>
    </row>
    <row r="4" ht="24" customHeight="1" s="40">
      <c r="A4" s="52" t="inlineStr">
        <is>
          <t>Core four-model template (attachment transcribed exactly; implementation notes flag unresolved points)</t>
        </is>
      </c>
    </row>
    <row r="5" ht="36" customHeight="1" s="40">
      <c r="A5" s="27" t="inlineStr">
        <is>
          <t>Variable / statistic</t>
        </is>
      </c>
      <c r="B5" s="27" t="inlineStr">
        <is>
          <t>Model 1</t>
        </is>
      </c>
      <c r="C5" s="27" t="inlineStr">
        <is>
          <t>Model 2</t>
        </is>
      </c>
      <c r="D5" s="28" t="inlineStr">
        <is>
          <t>Model 3</t>
        </is>
      </c>
      <c r="E5" s="29" t="inlineStr">
        <is>
          <t>Model 4</t>
        </is>
      </c>
      <c r="F5" s="29" t="inlineStr">
        <is>
          <t>Decision</t>
        </is>
      </c>
      <c r="G5" s="29" t="inlineStr">
        <is>
          <t>Implementation note</t>
        </is>
      </c>
    </row>
    <row r="6" ht="34" customHeight="1" s="40">
      <c r="A6" s="30" t="inlineStr">
        <is>
          <t>Estimator</t>
        </is>
      </c>
      <c r="B6" s="30" t="inlineStr">
        <is>
          <t>FE-DK</t>
        </is>
      </c>
      <c r="C6" s="30" t="inlineStr">
        <is>
          <t>FE-DK</t>
        </is>
      </c>
      <c r="D6" s="31" t="inlineStr">
        <is>
          <t>FE-DK</t>
        </is>
      </c>
      <c r="E6" s="32" t="inlineStr">
        <is>
          <t>FE-DK</t>
        </is>
      </c>
      <c r="F6" s="32" t="inlineStr">
        <is>
          <t>Required</t>
        </is>
      </c>
      <c r="G6" s="32" t="inlineStr">
        <is>
          <t>Bond fixed effects with Driscoll-Kraay standard errors only.</t>
        </is>
      </c>
    </row>
    <row r="7" ht="54" customHeight="1" s="40">
      <c r="A7" s="30" t="inlineStr">
        <is>
          <t>VIX</t>
        </is>
      </c>
      <c r="B7" s="30" t="inlineStr">
        <is>
          <t>x</t>
        </is>
      </c>
      <c r="C7" s="30" t="inlineStr">
        <is>
          <t>x</t>
        </is>
      </c>
      <c r="D7" s="31" t="inlineStr">
        <is>
          <t>x</t>
        </is>
      </c>
      <c r="E7" s="32" t="inlineStr">
        <is>
          <t>x</t>
        </is>
      </c>
      <c r="F7" s="32" t="inlineStr">
        <is>
          <t>Core</t>
        </is>
      </c>
      <c r="G7" s="32" t="inlineStr">
        <is>
          <t>Pre-freeze MR-09/WP-06 audit passed: VIX Index source/ticker, 187/187 monthly history, month-end convention, 4,229/4,229 panel mapping, raw index-point scaling and economic label/H1 wording are validated. Keep VIX in all four core columns. Raw/partial correlations and final sign/H1 interpretation wait for post-freeze DK results.</t>
        </is>
      </c>
    </row>
    <row r="8" ht="46" customHeight="1" s="40">
      <c r="A8" s="30" t="inlineStr">
        <is>
          <t>FED3M Forward (nominal)</t>
        </is>
      </c>
      <c r="B8" s="30" t="inlineStr">
        <is>
          <t>x</t>
        </is>
      </c>
      <c r="C8" s="30" t="inlineStr">
        <is>
          <t>x</t>
        </is>
      </c>
      <c r="D8" s="31" t="inlineStr">
        <is>
          <t>x</t>
        </is>
      </c>
      <c r="E8" s="32" t="inlineStr">
        <is>
          <t>x</t>
        </is>
      </c>
      <c r="F8" s="32" t="inlineStr">
        <is>
          <t>Core</t>
        </is>
      </c>
      <c r="G8" s="32" t="inlineStr">
        <is>
          <t>PRE-FREEZE AUDIT PASSED. Baseline fed_3m_forward is Bloomberg USSOC Curncy / PX_LAST, the 3M USD OIS fixed rate. Native daily history and last-available month-end convention validated; 164/164 distinct panel months match exactly (0 mismatches; max abs diff 0.0). Baseline uses Bloomberg percentage-point values directly with no rescaling/log/standardization; D.fed_3m_forward exists only in the separate macro-differences robustness. Keep the thesis-facing label “Fed 3M Forward” for readability, but define it technically as the 3M USD OIS and state explicitly that it is forward-looking in economic content, not a forward-starting 3Mx3M rate. Keep the nominal market rate; do not reintroduce the old real construction.</t>
        </is>
      </c>
    </row>
    <row r="9" ht="44" customHeight="1" s="40">
      <c r="A9" s="33" t="inlineStr">
        <is>
          <t>FED3M Forward Real (old construction)</t>
        </is>
      </c>
      <c r="B9" s="33" t="inlineStr">
        <is>
          <t>-</t>
        </is>
      </c>
      <c r="C9" s="33" t="inlineStr">
        <is>
          <t>-</t>
        </is>
      </c>
      <c r="D9" s="34" t="inlineStr">
        <is>
          <t>-</t>
        </is>
      </c>
      <c r="E9" s="35" t="inlineStr">
        <is>
          <t>-</t>
        </is>
      </c>
      <c r="F9" s="35" t="inlineStr">
        <is>
          <t>Exclude</t>
        </is>
      </c>
      <c r="G9" s="35" t="inlineStr">
        <is>
          <t>Do not use: inflation adjustment was not horizon-consistent with the 3-month forward rate.</t>
        </is>
      </c>
    </row>
    <row r="10" ht="34" customHeight="1" s="40">
      <c r="A10" s="30" t="inlineStr">
        <is>
          <t>USD/BRL NER</t>
        </is>
      </c>
      <c r="B10" s="30" t="inlineStr">
        <is>
          <t>x</t>
        </is>
      </c>
      <c r="C10" s="30" t="n"/>
      <c r="D10" s="31" t="n"/>
      <c r="E10" s="32" t="n"/>
      <c r="F10" s="32" t="inlineStr">
        <is>
          <t>Attachment</t>
        </is>
      </c>
      <c r="G10" s="32" t="inlineStr">
        <is>
          <t>PRE-FREEZE AUDIT PASSED FOR CURRENT NOMINAL NER. Source workbook identifies USDBRL Curncy (BRL per USD); 187 uninterrupted monthly source observations from Jan-2010 to Jul-2025; all timestamps follow the last-weekday month-end convention; panel usd_brl maps exactly across 4,229 rows / 164 months with 0 blanks, 0 within-month conflicts, 0 missing source months and 0 mismatches. Baseline uses the level directly with no log/rescaling/standardization; D.usd_brl is macro-differences robustness only. Label as nominal USD/BRL (BRL per USD); an increase denotes BRL depreciation. Original Bloomberg formula/raw layer is not retained in the values-only workbook.</t>
        </is>
      </c>
    </row>
    <row r="11" ht="44" customHeight="1" s="40">
      <c r="A11" s="36" t="inlineStr">
        <is>
          <t>USD/BRL RER</t>
        </is>
      </c>
      <c r="B11" s="36" t="inlineStr">
        <is>
          <t>x</t>
        </is>
      </c>
      <c r="C11" s="36" t="inlineStr">
        <is>
          <t>x</t>
        </is>
      </c>
      <c r="D11" s="37" t="n"/>
      <c r="E11" s="38" t="inlineStr">
        <is>
          <t>x</t>
        </is>
      </c>
      <c r="F11" s="38" t="inlineStr">
        <is>
          <t>Confirm</t>
        </is>
      </c>
      <c r="G11" s="38" t="inlineStr">
        <is>
          <t>RER remains a separate construction from the audited nominal NER. If Martin's final specification replaces NER with RER, complete a separate six-step RER audit before the panel is frozen; do not infer RER validity from the nominal USD/BRL audit.</t>
        </is>
      </c>
    </row>
    <row r="12" ht="34" customHeight="1" s="40">
      <c r="A12" s="30" t="inlineStr">
        <is>
          <t>GDP growth (YoY)</t>
        </is>
      </c>
      <c r="B12" s="30" t="inlineStr">
        <is>
          <t>x</t>
        </is>
      </c>
      <c r="C12" s="30" t="inlineStr">
        <is>
          <t>x</t>
        </is>
      </c>
      <c r="D12" s="31" t="n"/>
      <c r="E12" s="32" t="inlineStr">
        <is>
          <t>x</t>
        </is>
      </c>
      <c r="F12" s="32" t="inlineStr">
        <is>
          <t>Attachment</t>
        </is>
      </c>
      <c r="G12" s="32" t="inlineStr">
        <is>
          <t>CURRENT DATA FREEZE AUDIT. Apply source/ticker -&gt; raw series -&gt; monthly convention -&gt; panel match -&gt; transformation/scaling -&gt; economic label before any regression rerun.</t>
        </is>
      </c>
    </row>
    <row r="13" ht="34" customHeight="1" s="40">
      <c r="A13" s="30" t="inlineStr">
        <is>
          <t>Public debt / GDP</t>
        </is>
      </c>
      <c r="B13" s="30" t="inlineStr">
        <is>
          <t>x</t>
        </is>
      </c>
      <c r="C13" s="30" t="inlineStr">
        <is>
          <t>x</t>
        </is>
      </c>
      <c r="D13" s="31" t="n"/>
      <c r="E13" s="32" t="inlineStr">
        <is>
          <t>x</t>
        </is>
      </c>
      <c r="F13" s="32" t="inlineStr">
        <is>
          <t>Attachment</t>
        </is>
      </c>
      <c r="G13" s="32" t="inlineStr">
        <is>
          <t>Domestic macro robustness block.</t>
        </is>
      </c>
    </row>
    <row r="14" ht="34" customHeight="1" s="40">
      <c r="A14" s="30" t="inlineStr">
        <is>
          <t>Sovereign Risk (BRL)</t>
        </is>
      </c>
      <c r="B14" s="30" t="inlineStr">
        <is>
          <t>x</t>
        </is>
      </c>
      <c r="C14" s="30" t="inlineStr">
        <is>
          <t>x</t>
        </is>
      </c>
      <c r="D14" s="31" t="inlineStr">
        <is>
          <t>x</t>
        </is>
      </c>
      <c r="E14" s="32" t="n"/>
      <c r="F14" s="32" t="inlineStr">
        <is>
          <t>Core - validated</t>
        </is>
      </c>
      <c r="G14" s="32" t="inlineStr">
        <is>
          <t>Closed 29-Sep-2026: sovereign_spread_brl = nominal government YTM minus same-date DI reference yield at exact BUS/252 tenor; 252 LTN + 330 NTN-F = 582/582 reproduced. Thesis documentation and terminology are aligned; no CDS label; corporate IPCA-real benchmark remains distinct.</t>
        </is>
      </c>
    </row>
    <row r="15" ht="34" customHeight="1" s="40">
      <c r="A15" s="30" t="inlineStr">
        <is>
          <t>Cash flow / assets</t>
        </is>
      </c>
      <c r="B15" s="30" t="inlineStr">
        <is>
          <t>x</t>
        </is>
      </c>
      <c r="C15" s="30" t="inlineStr">
        <is>
          <t>x</t>
        </is>
      </c>
      <c r="D15" s="31" t="inlineStr">
        <is>
          <t>x</t>
        </is>
      </c>
      <c r="E15" s="32" t="inlineStr">
        <is>
          <t>x</t>
        </is>
      </c>
      <c r="F15" s="32" t="inlineStr">
        <is>
          <t>Attachment</t>
        </is>
      </c>
      <c r="G15" s="32" t="inlineStr">
        <is>
          <t>Firm control included in every attached column.</t>
        </is>
      </c>
    </row>
    <row r="16" ht="34" customHeight="1" s="40">
      <c r="A16" s="30" t="inlineStr">
        <is>
          <t>Relative issue size (AMT_ISSUED / BS_TOT_ASSET, ‰)</t>
        </is>
      </c>
      <c r="B16" s="30" t="inlineStr">
        <is>
          <t>x</t>
        </is>
      </c>
      <c r="C16" s="30" t="inlineStr">
        <is>
          <t>x</t>
        </is>
      </c>
      <c r="D16" s="31" t="inlineStr">
        <is>
          <t>x</t>
        </is>
      </c>
      <c r="E16" s="32" t="inlineStr">
        <is>
          <t>x</t>
        </is>
      </c>
      <c r="F16" s="32" t="inlineStr">
        <is>
          <t>Retain - audited</t>
        </is>
      </c>
      <c r="G16" s="32" t="inlineStr">
        <is>
          <t>Closed WP-03 on 30-Sep-2026. Reconstructed 4,229/4,229 observations from raw AMT_ISSUED and quarterly BS_TOT_ASSET; 98/103 bonds (95.15%) vary within bond, so the ratio is identified in bond FE. Interpret as relative issue size versus issuer scale, not a change in AMT_ISSUED. Q-1 BS_TOT_ASSET robustness: 4,223/4,229 available, corr=0.9918, same 98/103 within-varying bonds.</t>
        </is>
      </c>
    </row>
    <row r="17" ht="34" customHeight="1" s="40">
      <c r="A17" s="30" t="inlineStr">
        <is>
          <t>Debt / EBITDA</t>
        </is>
      </c>
      <c r="B17" s="30" t="inlineStr">
        <is>
          <t>x</t>
        </is>
      </c>
      <c r="C17" s="30" t="inlineStr">
        <is>
          <t>x</t>
        </is>
      </c>
      <c r="D17" s="31" t="inlineStr">
        <is>
          <t>x</t>
        </is>
      </c>
      <c r="E17" s="32" t="inlineStr">
        <is>
          <t>x</t>
        </is>
      </c>
      <c r="F17" s="32" t="inlineStr">
        <is>
          <t>Attachment</t>
        </is>
      </c>
      <c r="G17" s="32" t="inlineStr">
        <is>
          <t>Firm control included in every attached column.</t>
        </is>
      </c>
    </row>
    <row r="18" ht="34" customHeight="1" s="40">
      <c r="A18" s="30" t="inlineStr">
        <is>
          <t>Residual bond maturity</t>
        </is>
      </c>
      <c r="B18" s="30" t="inlineStr">
        <is>
          <t>x</t>
        </is>
      </c>
      <c r="C18" s="30" t="inlineStr">
        <is>
          <t>x</t>
        </is>
      </c>
      <c r="D18" s="31" t="inlineStr">
        <is>
          <t>x</t>
        </is>
      </c>
      <c r="E18" s="32" t="inlineStr">
        <is>
          <t>x</t>
        </is>
      </c>
      <c r="F18" s="32" t="inlineStr">
        <is>
          <t>Attachment</t>
        </is>
      </c>
      <c r="G18" s="32" t="inlineStr">
        <is>
          <t>Bond control included in every attached column.</t>
        </is>
      </c>
    </row>
    <row r="19" ht="34" customHeight="1" s="40">
      <c r="A19" s="30" t="inlineStr">
        <is>
          <t>Within R-squared</t>
        </is>
      </c>
      <c r="B19" s="30" t="inlineStr">
        <is>
          <t>report</t>
        </is>
      </c>
      <c r="C19" s="30" t="inlineStr">
        <is>
          <t>report</t>
        </is>
      </c>
      <c r="D19" s="31" t="inlineStr">
        <is>
          <t>report</t>
        </is>
      </c>
      <c r="E19" s="32" t="inlineStr">
        <is>
          <t>report</t>
        </is>
      </c>
      <c r="F19" s="32" t="inlineStr">
        <is>
          <t>Required</t>
        </is>
      </c>
      <c r="G19" s="32" t="inlineStr">
        <is>
          <t>Explicitly requested in the attachment.</t>
        </is>
      </c>
    </row>
    <row r="20" ht="34" customHeight="1" s="40">
      <c r="A20" s="30" t="inlineStr">
        <is>
          <t>rho</t>
        </is>
      </c>
      <c r="B20" s="30" t="inlineStr">
        <is>
          <t>report</t>
        </is>
      </c>
      <c r="C20" s="30" t="inlineStr">
        <is>
          <t>report</t>
        </is>
      </c>
      <c r="D20" s="31" t="inlineStr">
        <is>
          <t>report</t>
        </is>
      </c>
      <c r="E20" s="32" t="inlineStr">
        <is>
          <t>report</t>
        </is>
      </c>
      <c r="F20" s="32" t="inlineStr">
        <is>
          <t>Required</t>
        </is>
      </c>
      <c r="G20" s="32" t="inlineStr">
        <is>
          <t>Explicitly requested in the attachment.</t>
        </is>
      </c>
    </row>
    <row r="21" ht="34" customHeight="1" s="40">
      <c r="A21" s="30" t="inlineStr">
        <is>
          <t>Diagnostics / DK metadata</t>
        </is>
      </c>
      <c r="B21" s="30" t="inlineStr">
        <is>
          <t>below</t>
        </is>
      </c>
      <c r="C21" s="30" t="inlineStr">
        <is>
          <t>below</t>
        </is>
      </c>
      <c r="D21" s="31" t="inlineStr">
        <is>
          <t>below</t>
        </is>
      </c>
      <c r="E21" s="32" t="inlineStr">
        <is>
          <t>below</t>
        </is>
      </c>
      <c r="F21" s="32" t="inlineStr">
        <is>
          <t>Required</t>
        </is>
      </c>
      <c r="G21" s="32" t="inlineStr">
        <is>
          <t>Show diagnostic tests, DK lag and panel dimensions with the table.</t>
        </is>
      </c>
    </row>
    <row r="22">
      <c r="A22" s="26" t="n"/>
      <c r="B22" s="26" t="n"/>
      <c r="C22" s="26" t="n"/>
      <c r="D22" s="26" t="n"/>
      <c r="E22" s="26" t="n"/>
      <c r="F22" s="26" t="n"/>
      <c r="G22" s="26" t="n"/>
    </row>
    <row r="23">
      <c r="A23" s="26" t="n"/>
      <c r="B23" s="26" t="n"/>
      <c r="C23" s="26" t="n"/>
      <c r="D23" s="26" t="n"/>
      <c r="E23" s="26" t="n"/>
      <c r="F23" s="26" t="n"/>
      <c r="G23" s="26" t="n"/>
    </row>
    <row r="24" ht="24" customHeight="1" s="40">
      <c r="A24" s="52" t="inlineStr">
        <is>
          <t>Optional SELIC 3M Forward robustness checks (secondary to the core four models)</t>
        </is>
      </c>
    </row>
    <row r="25" ht="36" customHeight="1" s="40">
      <c r="A25" s="27" t="inlineStr">
        <is>
          <t>Element</t>
        </is>
      </c>
      <c r="B25" s="27" t="inlineStr">
        <is>
          <t>Model 5</t>
        </is>
      </c>
      <c r="C25" s="27" t="inlineStr">
        <is>
          <t>Model 6</t>
        </is>
      </c>
      <c r="D25" s="28" t="inlineStr">
        <is>
          <t>Status</t>
        </is>
      </c>
      <c r="E25" s="29" t="inlineStr">
        <is>
          <t>Required exclusion</t>
        </is>
      </c>
      <c r="F25" s="29" t="inlineStr">
        <is>
          <t>Open point</t>
        </is>
      </c>
      <c r="G25" s="29" t="inlineStr">
        <is>
          <t>Implementation note</t>
        </is>
      </c>
    </row>
    <row r="26" ht="38" customHeight="1" s="40">
      <c r="A26" s="30" t="inlineStr">
        <is>
          <t>SELIC 3M Forward</t>
        </is>
      </c>
      <c r="B26" s="30" t="inlineStr">
        <is>
          <t>include</t>
        </is>
      </c>
      <c r="C26" s="30" t="inlineStr">
        <is>
          <t>include</t>
        </is>
      </c>
      <c r="D26" s="31" t="inlineStr">
        <is>
          <t>Prepared; regression deferred</t>
        </is>
      </c>
      <c r="E26" s="32" t="inlineStr">
        <is>
          <t>-</t>
        </is>
      </c>
      <c r="F26" s="32" t="inlineStr">
        <is>
          <t>Proxy sourced/documented: YCSW0089 Index 3M (Brazil 3M DI). Do not merge/run Models 5-6 until all baseline regressors are audited and the authoritative panel is frozen.</t>
        </is>
      </c>
      <c r="G26" s="32" t="inlineStr">
        <is>
          <t>Referee-only low-cost diagnostic proposed by Martin, not the preferred baseline. Use the 3M point of Bloomberg BM&amp;F Pre x DI curve as the forward-looking domestic short-rate proxy; do not label it a literal 3Mx6M forward-starting SELIC rate. After data freeze and the core baseline rerun, validate panel alignment/correlations/VIF and decide whether it is informative enough to report.</t>
        </is>
      </c>
    </row>
    <row r="27" ht="38" customHeight="1" s="40">
      <c r="A27" s="30" t="inlineStr">
        <is>
          <t>FED3M Forward (nominal)</t>
        </is>
      </c>
      <c r="B27" s="30" t="inlineStr">
        <is>
          <t>retain</t>
        </is>
      </c>
      <c r="C27" s="30" t="inlineStr">
        <is>
          <t>omit</t>
        </is>
      </c>
      <c r="D27" s="31" t="inlineStr">
        <is>
          <t>Specified</t>
        </is>
      </c>
      <c r="E27" s="32" t="inlineStr">
        <is>
          <t>Model 6 omits it</t>
        </is>
      </c>
      <c r="F27" s="32" t="inlineStr">
        <is>
          <t>-</t>
        </is>
      </c>
      <c r="G27" s="32" t="inlineStr">
        <is>
          <t>Second SELIC variant removes FED3M as well.</t>
        </is>
      </c>
    </row>
    <row r="28" ht="38" customHeight="1" s="40">
      <c r="A28" s="30" t="inlineStr">
        <is>
          <t>FX (NER/RER)</t>
        </is>
      </c>
      <c r="B28" s="30" t="inlineStr">
        <is>
          <t>omit</t>
        </is>
      </c>
      <c r="C28" s="30" t="inlineStr">
        <is>
          <t>omit</t>
        </is>
      </c>
      <c r="D28" s="31" t="inlineStr">
        <is>
          <t>Specified</t>
        </is>
      </c>
      <c r="E28" s="32" t="inlineStr">
        <is>
          <t>Both models omit FX</t>
        </is>
      </c>
      <c r="F28" s="32" t="inlineStr">
        <is>
          <t>-</t>
        </is>
      </c>
      <c r="G28" s="32" t="inlineStr">
        <is>
          <t>Required by Martin.</t>
        </is>
      </c>
    </row>
    <row r="29" ht="38" customHeight="1" s="40">
      <c r="A29" s="30" t="inlineStr">
        <is>
          <t>Sovereign Risk (BRL)</t>
        </is>
      </c>
      <c r="B29" s="30" t="inlineStr">
        <is>
          <t>omit</t>
        </is>
      </c>
      <c r="C29" s="30" t="inlineStr">
        <is>
          <t>omit</t>
        </is>
      </c>
      <c r="D29" s="31" t="inlineStr">
        <is>
          <t>Specified</t>
        </is>
      </c>
      <c r="E29" s="32" t="inlineStr">
        <is>
          <t>Both models omit sovereign spread</t>
        </is>
      </c>
      <c r="F29" s="32" t="inlineStr">
        <is>
          <t>-</t>
        </is>
      </c>
      <c r="G29" s="32" t="inlineStr">
        <is>
          <t>Required by Martin.</t>
        </is>
      </c>
    </row>
    <row r="30" ht="38" customHeight="1" s="40">
      <c r="A30" s="36" t="inlineStr">
        <is>
          <t>Other macro and firm/bond controls</t>
        </is>
      </c>
      <c r="B30" s="36" t="inlineStr">
        <is>
          <t>base set</t>
        </is>
      </c>
      <c r="C30" s="36" t="inlineStr">
        <is>
          <t>base set</t>
        </is>
      </c>
      <c r="D30" s="37" t="inlineStr">
        <is>
          <t>Confirm</t>
        </is>
      </c>
      <c r="E30" s="38" t="inlineStr">
        <is>
          <t>-</t>
        </is>
      </c>
      <c r="F30" s="38" t="inlineStr">
        <is>
          <t>Exact retained block not fully stated</t>
        </is>
      </c>
      <c r="G30" s="38" t="inlineStr">
        <is>
          <t>Use the selected base column only after confirmation.</t>
        </is>
      </c>
    </row>
    <row r="31">
      <c r="A31" s="26" t="n"/>
      <c r="B31" s="26" t="n"/>
      <c r="C31" s="26" t="n"/>
      <c r="D31" s="26" t="n"/>
      <c r="E31" s="26" t="n"/>
      <c r="F31" s="26" t="n"/>
      <c r="G31" s="26" t="n"/>
    </row>
    <row r="32" ht="24" customHeight="1" s="40">
      <c r="A32" s="52" t="inlineStr">
        <is>
          <t>Implementation controls and unresolved source points</t>
        </is>
      </c>
    </row>
    <row r="33" ht="36" customHeight="1" s="40">
      <c r="A33" s="27" t="inlineStr">
        <is>
          <t>#</t>
        </is>
      </c>
      <c r="B33" s="27" t="inlineStr">
        <is>
          <t>Control / ambiguity</t>
        </is>
      </c>
      <c r="C33" s="27" t="inlineStr">
        <is>
          <t>Status</t>
        </is>
      </c>
      <c r="D33" s="28" t="inlineStr">
        <is>
          <t>Required decision or evidence</t>
        </is>
      </c>
      <c r="E33" s="29" t="inlineStr">
        <is>
          <t>Owner</t>
        </is>
      </c>
      <c r="F33" s="29" t="inlineStr">
        <is>
          <t>Target</t>
        </is>
      </c>
      <c r="G33" s="29" t="inlineStr">
        <is>
          <t>Source</t>
        </is>
      </c>
    </row>
    <row r="34" ht="40" customHeight="1" s="40">
      <c r="A34" s="30" t="n">
        <v>1</v>
      </c>
      <c r="B34" s="30" t="inlineStr">
        <is>
          <t>Use nominal FED3M Forward; exclude old real series</t>
        </is>
      </c>
      <c r="C34" s="30" t="inlineStr">
        <is>
          <t>Resolved</t>
        </is>
      </c>
      <c r="D34" s="31" t="inlineStr">
        <is>
          <t>Implement nominal series in all four core models</t>
        </is>
      </c>
      <c r="E34" s="32" t="inlineStr">
        <is>
          <t>Thiago</t>
        </is>
      </c>
      <c r="F34" s="32" t="inlineStr">
        <is>
          <t>Before estimation</t>
        </is>
      </c>
      <c r="G34" s="32" t="inlineStr">
        <is>
          <t>Martin 25-Sep</t>
        </is>
      </c>
    </row>
    <row r="35" ht="40" customHeight="1" s="40">
      <c r="A35" s="30" t="n">
        <v>2</v>
      </c>
      <c r="B35" s="30" t="inlineStr">
        <is>
          <t>One table only; no separate plain-FE or PCSE columns</t>
        </is>
      </c>
      <c r="C35" s="30" t="inlineStr">
        <is>
          <t>Resolved</t>
        </is>
      </c>
      <c r="D35" s="31" t="inlineStr">
        <is>
          <t>Use FE-DK columns and place diagnostics below</t>
        </is>
      </c>
      <c r="E35" s="32" t="inlineStr">
        <is>
          <t>Thiago</t>
        </is>
      </c>
      <c r="F35" s="32" t="inlineStr">
        <is>
          <t>30-Sep-2026</t>
        </is>
      </c>
      <c r="G35" s="32" t="inlineStr">
        <is>
          <t>Martin 25-Sep</t>
        </is>
      </c>
    </row>
    <row r="36" ht="40" customHeight="1" s="40">
      <c r="A36" s="30" t="n">
        <v>3</v>
      </c>
      <c r="B36" s="30" t="inlineStr">
        <is>
          <t>PCSE rationale</t>
        </is>
      </c>
      <c r="C36" s="30" t="inlineStr">
        <is>
          <t>Resolved</t>
        </is>
      </c>
      <c r="D36" s="31" t="inlineStr">
        <is>
          <t>Document imbalance and limited common overlap; retain audit only internally</t>
        </is>
      </c>
      <c r="E36" s="32" t="inlineStr">
        <is>
          <t>Thiago</t>
        </is>
      </c>
      <c r="F36" s="32" t="inlineStr">
        <is>
          <t>Response memo</t>
        </is>
      </c>
      <c r="G36" s="32" t="inlineStr">
        <is>
          <t>Martin 25-Sep</t>
        </is>
      </c>
    </row>
    <row r="37" ht="40" customHeight="1" s="40">
      <c r="A37" s="36" t="n">
        <v>4</v>
      </c>
      <c r="B37" s="36" t="inlineStr">
        <is>
          <t>Model 1 contains both NER and RER in attachment</t>
        </is>
      </c>
      <c r="C37" s="36" t="inlineStr">
        <is>
          <t>Confirm</t>
        </is>
      </c>
      <c r="D37" s="37" t="inlineStr">
        <is>
          <t>Ask whether Model 1 should contain NER, RER or both</t>
        </is>
      </c>
      <c r="E37" s="38" t="inlineStr">
        <is>
          <t>Thiago + Martin</t>
        </is>
      </c>
      <c r="F37" s="38" t="inlineStr">
        <is>
          <t>Before final code</t>
        </is>
      </c>
      <c r="G37" s="38" t="inlineStr">
        <is>
          <t>Attached table</t>
        </is>
      </c>
    </row>
    <row r="38" ht="40" customHeight="1" s="40">
      <c r="A38" s="36" t="n">
        <v>5</v>
      </c>
      <c r="B38" s="36" t="inlineStr">
        <is>
          <t>Stacking text versus controls in all attached columns</t>
        </is>
      </c>
      <c r="C38" s="36" t="inlineStr">
        <is>
          <t>Confirm</t>
        </is>
      </c>
      <c r="D38" s="37" t="inlineStr">
        <is>
          <t>Map external -&gt; domestic/sovereign -&gt; firm/bond sequence to final columns</t>
        </is>
      </c>
      <c r="E38" s="38" t="inlineStr">
        <is>
          <t>Thiago + Martin</t>
        </is>
      </c>
      <c r="F38" s="38" t="inlineStr">
        <is>
          <t>Before final code</t>
        </is>
      </c>
      <c r="G38" s="38" t="inlineStr">
        <is>
          <t>Martin + table</t>
        </is>
      </c>
    </row>
    <row r="39" ht="40" customHeight="1" s="40">
      <c r="A39" s="36" t="n">
        <v>6</v>
      </c>
      <c r="B39" s="36" t="inlineStr">
        <is>
          <t>No separate inflation term in paper exercise</t>
        </is>
      </c>
      <c r="C39" s="36" t="inlineStr">
        <is>
          <t>Clarify wording</t>
        </is>
      </c>
      <c r="D39" s="37" t="inlineStr">
        <is>
          <t>Verify consistency with IPCA-linked yield units and thesis notation</t>
        </is>
      </c>
      <c r="E39" s="38" t="inlineStr">
        <is>
          <t>Thiago + Martin</t>
        </is>
      </c>
      <c r="F39" s="38" t="inlineStr">
        <is>
          <t>Before writing</t>
        </is>
      </c>
      <c r="G39" s="38" t="inlineStr">
        <is>
          <t>Martin 25-Sep</t>
        </is>
      </c>
    </row>
    <row r="40" ht="40" customHeight="1" s="40">
      <c r="A40" s="36" t="n">
        <v>7</v>
      </c>
      <c r="B40" s="36" t="inlineStr">
        <is>
          <t>NER and RER reportedly similar</t>
        </is>
      </c>
      <c r="C40" s="36" t="inlineStr">
        <is>
          <t>Verify</t>
        </is>
      </c>
      <c r="D40" s="37" t="inlineStr">
        <is>
          <t>Confirm on regenerated corrected-spread estimates</t>
        </is>
      </c>
      <c r="E40" s="38" t="inlineStr">
        <is>
          <t>Thiago</t>
        </is>
      </c>
      <c r="F40" s="38" t="inlineStr">
        <is>
          <t>With core table</t>
        </is>
      </c>
      <c r="G40" s="38" t="inlineStr">
        <is>
          <t>Martin 25-Sep</t>
        </is>
      </c>
    </row>
    <row r="41" ht="40" customHeight="1" s="40">
      <c r="A41" s="36" t="n">
        <v>8</v>
      </c>
      <c r="B41" s="36" t="inlineStr">
        <is>
          <t>Core table delivery</t>
        </is>
      </c>
      <c r="C41" s="36" t="inlineStr">
        <is>
          <t>Target</t>
        </is>
      </c>
      <c r="D41" s="37" t="inlineStr">
        <is>
          <t>Send one consolidated table with diagnostics and statistics</t>
        </is>
      </c>
      <c r="E41" s="38" t="inlineStr">
        <is>
          <t>Thiago</t>
        </is>
      </c>
      <c r="F41" s="38" t="inlineStr">
        <is>
          <t>30-Sep-2026</t>
        </is>
      </c>
      <c r="G41" s="38" t="inlineStr">
        <is>
          <t>Martin 25-Sep</t>
        </is>
      </c>
    </row>
    <row r="42" ht="40" customHeight="1" s="40">
      <c r="A42" s="36" t="n">
        <v>9</v>
      </c>
      <c r="B42" s="36" t="inlineStr">
        <is>
          <t>Sovereign Risk (BRL) definition / old synthetic-CDS label</t>
        </is>
      </c>
      <c r="C42" s="36" t="inlineStr">
        <is>
          <t>Implementation validated; text pending</t>
        </is>
      </c>
      <c r="D42" s="37" t="inlineStr">
        <is>
          <t>Code audit complete: 582/582 LTN+NTN-F observations reproduce government YTM minus same-date exact-tenor DI reference yield; exact-node guard added and tests pass. Remaining: document currency/indexation treatment, rename/remove synthetic-CDS terminology in thesis/outputs, and verify USD CDS 5Y absence in code/specifications.</t>
        </is>
      </c>
      <c r="E42" s="38" t="inlineStr">
        <is>
          <t>Thiago</t>
        </is>
      </c>
      <c r="F42" s="38" t="inlineStr">
        <is>
          <t>Before estimation</t>
        </is>
      </c>
      <c r="G42" s="38" t="inlineStr">
        <is>
          <t>Martin audio 25-Sep</t>
        </is>
      </c>
    </row>
    <row r="43" ht="40" customHeight="1" s="40">
      <c r="A43" s="36" t="n">
        <v>10</v>
      </c>
      <c r="B43" s="36" t="inlineStr">
        <is>
          <t>USD CDS 5Y in the economic model</t>
        </is>
      </c>
      <c r="C43" s="36" t="inlineStr">
        <is>
          <t>Deferred final-panel integrity check</t>
        </is>
      </c>
      <c r="D43" s="37"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38" t="inlineStr">
        <is>
          <t>Thiago</t>
        </is>
      </c>
      <c r="F43" s="38" t="inlineStr">
        <is>
          <t>Before final estimation</t>
        </is>
      </c>
      <c r="G43" s="38" t="inlineStr">
        <is>
          <t>Martin audio 25 &amp; 27-Sep</t>
        </is>
      </c>
    </row>
    <row r="44" ht="40" customHeight="1" s="40">
      <c r="A44" s="36" t="n">
        <v>11</v>
      </c>
      <c r="B44" s="36" t="inlineStr">
        <is>
          <t>Common-reference two-spread specification</t>
        </is>
      </c>
      <c r="C44" s="36" t="inlineStr">
        <is>
          <t>Specification intent resolved; reconciliation pending</t>
        </is>
      </c>
      <c r="D44" s="37"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38" t="inlineStr">
        <is>
          <t>Thiago</t>
        </is>
      </c>
      <c r="F44" s="38" t="inlineStr">
        <is>
          <t>Before final estimation/write-up</t>
        </is>
      </c>
      <c r="G44" s="38" t="inlineStr">
        <is>
          <t>Martin audio 27-Sep</t>
        </is>
      </c>
    </row>
    <row r="45" ht="40" customHeight="1" s="40">
      <c r="A45" s="36" t="n">
        <v>12</v>
      </c>
      <c r="B45" s="36" t="inlineStr">
        <is>
          <t>SELIC 3M Forward role</t>
        </is>
      </c>
      <c r="C45" s="36" t="inlineStr">
        <is>
          <t>Resolved - referee only</t>
        </is>
      </c>
      <c r="D45" s="37" t="inlineStr">
        <is>
          <t>Run only as an optional referee diagnostic under the specified exclusions; do not treat it as baseline; decide whether to show/publish only if informative.</t>
        </is>
      </c>
      <c r="E45" s="38" t="inlineStr">
        <is>
          <t>Thiago</t>
        </is>
      </c>
      <c r="F45" s="38" t="inlineStr">
        <is>
          <t>After data freeze and core table / if time permits</t>
        </is>
      </c>
      <c r="G45" s="38" t="inlineStr">
        <is>
          <t>Martin audio 27-Sep</t>
        </is>
      </c>
    </row>
    <row r="46" ht="40" customHeight="1" s="40">
      <c r="A46" s="36" t="n">
        <v>13</v>
      </c>
      <c r="B46" s="36" t="inlineStr">
        <is>
          <t>Econometric Panel Data Freeze Gate</t>
        </is>
      </c>
      <c r="C46" s="36" t="inlineStr">
        <is>
          <t>Active</t>
        </is>
      </c>
      <c r="D46" s="37" t="inlineStr">
        <is>
          <t>Before any final baseline or robustness regression, close or explicitly accept unchanged all baseline explanatory-variable audits; rebuild/finalize panel_main_and_robustness.xlsx once; verify source/units/date mapping and run the final code/specification integrity checks. Only then rerun the core FE-DK table and targeted robustness checks.</t>
        </is>
      </c>
      <c r="E46" s="38" t="inlineStr">
        <is>
          <t>Thiago</t>
        </is>
      </c>
      <c r="F46" s="38" t="inlineStr">
        <is>
          <t>Before any final estimation</t>
        </is>
      </c>
      <c r="G46" s="38" t="inlineStr">
        <is>
          <t>Workflow sequencing decision 1-Oct-2026</t>
        </is>
      </c>
    </row>
  </sheetData>
  <mergeCells count="5">
    <mergeCell ref="A32:G32"/>
    <mergeCell ref="A1:G1"/>
    <mergeCell ref="A4:G4"/>
    <mergeCell ref="A24:G24"/>
    <mergeCell ref="A2:G2"/>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FFC00000"/>
    <outlinePr summaryBelow="1" summaryRight="1"/>
    <pageSetUpPr/>
  </sheetPr>
  <dimension ref="A1:E15"/>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v4 Change Log</t>
        </is>
      </c>
    </row>
    <row r="2" ht="34" customHeight="1" s="40">
      <c r="A2" s="48" t="inlineStr">
        <is>
          <t>Exact changes merged from Martin Grandes' 24-Sep-2026 messages after he read Daniel Milia's report.</t>
        </is>
      </c>
    </row>
    <row r="3" ht="34" customHeight="1" s="40">
      <c r="A3" s="22" t="inlineStr">
        <is>
          <t>Change ID</t>
        </is>
      </c>
      <c r="B3" s="22" t="inlineStr">
        <is>
          <t>Date</t>
        </is>
      </c>
      <c r="C3" s="22" t="inlineStr">
        <is>
          <t>Topic</t>
        </is>
      </c>
      <c r="D3" s="22" t="inlineStr">
        <is>
          <t>Sheets / rows affected</t>
        </is>
      </c>
      <c r="E3" s="22" t="inlineStr">
        <is>
          <t>What changed</t>
        </is>
      </c>
    </row>
    <row r="4" ht="52" customHeight="1" s="40">
      <c r="A4" s="23" t="inlineStr">
        <is>
          <t>v4-01</t>
        </is>
      </c>
      <c r="B4" s="4" t="inlineStr">
        <is>
          <t>24-Sep-2026</t>
        </is>
      </c>
      <c r="C4" s="21" t="inlineStr">
        <is>
          <t>Daniel overall priority</t>
        </is>
      </c>
      <c r="D4" s="4" t="inlineStr">
        <is>
          <t>Director Guidance; README; Dashboard</t>
        </is>
      </c>
      <c r="E4" s="4" t="inlineStr">
        <is>
          <t>Recorded Martin's assessment that Daniel is less substantive than Ailin and Maximo and should be handled selectively after the core empirical work.</t>
        </is>
      </c>
    </row>
    <row r="5" ht="52" customHeight="1" s="40">
      <c r="A5" s="23" t="inlineStr">
        <is>
          <t>v4-02</t>
        </is>
      </c>
      <c r="B5" s="4" t="inlineStr">
        <is>
          <t>24-Sep-2026</t>
        </is>
      </c>
      <c r="C5" s="21" t="inlineStr">
        <is>
          <t>Hypothesis-result linkage</t>
        </is>
      </c>
      <c r="D5" s="4" t="inlineStr">
        <is>
          <t>MR-09, MR-19, MR-30, MR-31, MR-32; WP-06, WP-13, WP-14</t>
        </is>
      </c>
      <c r="E5" s="4" t="inlineStr">
        <is>
          <t>Added an explicit requirement to link each hypothesis to final results and classify evidence as robust, partial/sensitive, null or unresolved.</t>
        </is>
      </c>
    </row>
    <row r="6" ht="52" customHeight="1" s="40">
      <c r="A6" s="23" t="inlineStr">
        <is>
          <t>v4-03</t>
        </is>
      </c>
      <c r="B6" s="4" t="inlineStr">
        <is>
          <t>24-Sep-2026</t>
        </is>
      </c>
      <c r="C6" s="21" t="inlineStr">
        <is>
          <t>Counterintuitive signs</t>
        </is>
      </c>
      <c r="D6" s="4" t="inlineStr">
        <is>
          <t>MR-01, MR-09, MR-19, MR-26, MR-30</t>
        </is>
      </c>
      <c r="E6" s="4" t="inlineStr">
        <is>
          <t>Made clearer sign explanations a required downstream narrative task.</t>
        </is>
      </c>
    </row>
    <row r="7" ht="52" customHeight="1" s="40">
      <c r="A7" s="23" t="inlineStr">
        <is>
          <t>v4-04</t>
        </is>
      </c>
      <c r="B7" s="4" t="inlineStr">
        <is>
          <t>24-Sep-2026</t>
        </is>
      </c>
      <c r="C7" s="21" t="inlineStr">
        <is>
          <t>Heteroskedasticity and diagnostics</t>
        </is>
      </c>
      <c r="D7" s="4" t="inlineStr">
        <is>
          <t>MR-16; WP-07</t>
        </is>
      </c>
      <c r="E7" s="4" t="inlineStr">
        <is>
          <t>Recorded that the problem was already treated in substance; the revision must make diagnostics and the correction visible.</t>
        </is>
      </c>
    </row>
    <row r="8" ht="52" customHeight="1" s="40">
      <c r="A8" s="23" t="inlineStr">
        <is>
          <t>v4-05</t>
        </is>
      </c>
      <c r="B8" s="4" t="inlineStr">
        <is>
          <t>24-Sep-2026</t>
        </is>
      </c>
      <c r="C8" s="21" t="inlineStr">
        <is>
          <t>Minor bibliography</t>
        </is>
      </c>
      <c r="D8" s="4" t="inlineStr">
        <is>
          <t>MR-11, MR-21, MR-34; WP-11</t>
        </is>
      </c>
      <c r="E8" s="4" t="inlineStr">
        <is>
          <t>Reclassified Daniel bibliography requests as bounded, targeted corrections rather than a literature overhaul.</t>
        </is>
      </c>
    </row>
    <row r="9" ht="52" customHeight="1" s="40">
      <c r="A9" s="23" t="inlineStr">
        <is>
          <t>v4-06</t>
        </is>
      </c>
      <c r="B9" s="4" t="inlineStr">
        <is>
          <t>24-Sep-2026</t>
        </is>
      </c>
      <c r="C9" s="21" t="inlineStr">
        <is>
          <t>SELIC disposition</t>
        </is>
      </c>
      <c r="D9" s="4" t="inlineStr">
        <is>
          <t>MR-04, MR-26; MG-10; WP-04</t>
        </is>
      </c>
      <c r="E9" s="4" t="inlineStr">
        <is>
          <t>Changed SELIC from a possible robustness variable to an explicit separate-regressor non-inclusion: it is part of the short end and potentially redundant.</t>
        </is>
      </c>
    </row>
    <row r="10" ht="52" customHeight="1" s="40">
      <c r="A10" s="23" t="inlineStr">
        <is>
          <t>v4-07</t>
        </is>
      </c>
      <c r="B10" s="4" t="inlineStr">
        <is>
          <t>24-Sep-2026</t>
        </is>
      </c>
      <c r="C10" s="21" t="inlineStr">
        <is>
          <t>Sovereign ceiling</t>
        </is>
      </c>
      <c r="D10" s="4" t="inlineStr">
        <is>
          <t>MR-01, MR-02; MG-11; WP-02</t>
        </is>
      </c>
      <c r="E10" s="4" t="inlineStr">
        <is>
          <t>Added Martin's sovereign-ceiling framing and its link to the corporate excess/shortfall over the sovereign.</t>
        </is>
      </c>
    </row>
    <row r="11" ht="52" customHeight="1" s="40">
      <c r="A11" s="23" t="inlineStr">
        <is>
          <t>v4-08</t>
        </is>
      </c>
      <c r="B11" s="4" t="inlineStr">
        <is>
          <t>24-Sep-2026</t>
        </is>
      </c>
      <c r="C11" s="21" t="inlineStr">
        <is>
          <t>Matched YTM alternative</t>
        </is>
      </c>
      <c r="D11" s="4" t="inlineStr">
        <is>
          <t>MR-01; WP-02; Action Sequence</t>
        </is>
      </c>
      <c r="E11" s="4" t="inlineStr">
        <is>
          <t>Added the alternative corporate-YTM-on-sovereign-YTM interpretation with same tenor, currency and approximately the same coupon, plus literature justification.</t>
        </is>
      </c>
    </row>
    <row r="12" ht="52" customHeight="1" s="40">
      <c r="A12" s="23" t="inlineStr">
        <is>
          <t>v4-09</t>
        </is>
      </c>
      <c r="B12" s="4" t="inlineStr">
        <is>
          <t>24-Sep-2026</t>
        </is>
      </c>
      <c r="C12" s="21" t="inlineStr">
        <is>
          <t>DK-only main estimator</t>
        </is>
      </c>
      <c r="D12" s="4" t="inlineStr">
        <is>
          <t>MR-16, MR-17, MR-23; MG-12; WP-07</t>
        </is>
      </c>
      <c r="E12" s="4" t="inlineStr">
        <is>
          <t>Specified Driscoll-Kraay as the only main estimator and added a short explanation for discarding PCSE.</t>
        </is>
      </c>
    </row>
    <row r="13" ht="52" customHeight="1" s="40">
      <c r="A13" s="23" t="inlineStr">
        <is>
          <t>v4-10</t>
        </is>
      </c>
      <c r="B13" s="4" t="inlineStr">
        <is>
          <t>24-Sep-2026</t>
        </is>
      </c>
      <c r="C13" s="21" t="inlineStr">
        <is>
          <t>Seminar specifications</t>
        </is>
      </c>
      <c r="D13" s="4" t="inlineStr">
        <is>
          <t>MR-18; MG-12; WP-08, WP-16</t>
        </is>
      </c>
      <c r="E13" s="4" t="inlineStr">
        <is>
          <t>Added real exchange rate and with/without macro controls correlated with local sovereign risk for Bordeaux/Geneva.</t>
        </is>
      </c>
    </row>
    <row r="14" ht="52" customHeight="1" s="40">
      <c r="A14" s="23" t="inlineStr">
        <is>
          <t>v4-11</t>
        </is>
      </c>
      <c r="B14" s="4" t="inlineStr">
        <is>
          <t>24-Sep-2026</t>
        </is>
      </c>
      <c r="C14" s="21" t="inlineStr">
        <is>
          <t>Priority sequence</t>
        </is>
      </c>
      <c r="D14" s="4" t="inlineStr">
        <is>
          <t>Dashboard; Action Sequence</t>
        </is>
      </c>
      <c r="E14" s="4" t="inlineStr">
        <is>
          <t>Kept WP-01 current, then elevated Maximo-driven spread/sovereign construction before Daniel-only exposition.</t>
        </is>
      </c>
    </row>
    <row r="15" ht="52" customHeight="1" s="40">
      <c r="A15" s="23" t="inlineStr">
        <is>
          <t>v4-12</t>
        </is>
      </c>
      <c r="B15" s="4" t="inlineStr">
        <is>
          <t>24-Sep-2026</t>
        </is>
      </c>
      <c r="C15" s="21" t="inlineStr">
        <is>
          <t>Source-of-truth update</t>
        </is>
      </c>
      <c r="D15" s="4" t="inlineStr">
        <is>
          <t>All tabs</t>
        </is>
      </c>
      <c r="E15" s="4" t="inlineStr">
        <is>
          <t>Merged the latest WhatsApp guidance without adding duplicate master issues or work packages.</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v5 Change Log</t>
        </is>
      </c>
    </row>
    <row r="2" ht="34" customHeight="1" s="40">
      <c r="A2" s="48" t="inlineStr">
        <is>
          <t>Exact changes merged from Martin Grandes' 25-Sep-2026 messages and attached estimation table.</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s="40">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s="40">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s="40">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s="40">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s="40">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s="40">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s="40">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s="40">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s="40">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v6 Change Log</t>
        </is>
      </c>
    </row>
    <row r="2" ht="34" customHeight="1" s="40">
      <c r="A2" s="48" t="inlineStr">
        <is>
          <t>Changes merged from Martin Grandes' 25-Sep-2026 audio clarifying the sovereign-risk construction and the transition from WP-01 to WP-02.</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s="40">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s="40">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s="40">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s="40">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s="40">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s="40">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s="40">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v7 Change Log</t>
        </is>
      </c>
    </row>
    <row r="2" ht="34" customHeight="1" s="40">
      <c r="A2" s="48" t="inlineStr">
        <is>
          <t>Changes merged from Martin Grandes' 27-Sep-2026 audio clarifying the preferred two-spread specification, USD CDS status and SELIC referee check.</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s="40">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s="40">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s="40">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s="40">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s="40">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s="40">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s="40">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v8 Change Log</t>
        </is>
      </c>
    </row>
    <row r="2" ht="34" customHeight="1" s="40">
      <c r="A2" s="48" t="inlineStr">
        <is>
          <t>Changes from the 29-Sep-2026 nominal sovereign-risk implementation audit, exact-node interpolation fix, and WP-02 status reconciliation.</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s="40">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s="40">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s="40">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s="40">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v9 Change Log</t>
        </is>
      </c>
    </row>
    <row r="2" ht="34" customHeight="1" s="40">
      <c r="A2" s="48" t="inlineStr">
        <is>
          <t>Changes from the 29-Sep-2026 WP-02 closure, thesis terminology/indexation cleanup, and workflow handoff to WP-03.</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s="40">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s="40">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s="40">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s="40">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v10 Change Log</t>
        </is>
      </c>
    </row>
    <row r="2" ht="34" customHeight="1" s="40">
      <c r="A2" s="48" t="inlineStr">
        <is>
          <t>Changes from the 30-Sep-2026 WP-03 issue-size audit closure, thesis consistency update, and workflow handoff to WP-04.</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s="40">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s="40">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s="40">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s="40">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v11 Change Log</t>
        </is>
      </c>
    </row>
    <row r="2" ht="34" customHeight="1" s="40">
      <c r="A2" s="48" t="inlineStr">
        <is>
          <t>Changes introduced on 1-Oct-2026 after inserting the WP-04 SELIC baseline non-inclusion rationale into thesis Section 4.5.3. WP-04 is not yet closed because the referee-only SELIC 3M Forward diagnostics remain pending.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s="40">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s="40">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s="40"/>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v12 Change Log</t>
        </is>
      </c>
    </row>
    <row r="2" ht="34" customHeight="1" s="40">
      <c r="A2" s="48" t="inlineStr">
        <is>
          <t>Changes introduced on 1-Oct-2026 after identifying, validating, downloading and documenting the Brazil 3M DI referee-only robustness proxy for WP-04. WP-04 remains open pending panel merge, diagnostics and Models 5-6.</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s="40">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s="40">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s="40">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v13 Change Log</t>
        </is>
      </c>
    </row>
    <row r="2" ht="34" customHeight="1" s="40">
      <c r="A2" s="48" t="inlineStr">
        <is>
          <t>Changes introduced on 1-Oct-2026 after adopting the Econometric Panel Data Freeze Gate. WP-04 data/rationale preparation is complete but its regression stage is parked until post-freeze robustness; WP-06 / MR-09 (VIX) is now the active audit.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v13-01</t>
        </is>
      </c>
      <c r="B5" t="inlineStr">
        <is>
          <t>1-Oct-2026</t>
        </is>
      </c>
      <c r="C5" t="inlineStr">
        <is>
          <t>Econometric Panel Data Freeze Gate adopted</t>
        </is>
      </c>
      <c r="D5" t="inlineStr">
        <is>
          <t>README; Dashboard; Action Sequence; Estimation Plan</t>
        </is>
      </c>
      <c r="E5" t="inlineStr">
        <is>
          <t>Final baseline, diagnostics and robustness regressions are blocked until all baseline explanatory-variable audits are closed or explicitly accepted unchanged and panel_main_and_robustness.xlsx is rebuilt/frozen as the authoritative input.</t>
        </is>
      </c>
    </row>
    <row r="6" ht="58" customHeight="1" s="40">
      <c r="A6" t="inlineStr">
        <is>
          <t>v13-02</t>
        </is>
      </c>
      <c r="B6" t="inlineStr">
        <is>
          <t>1-Oct-2026</t>
        </is>
      </c>
      <c r="C6" t="inlineStr">
        <is>
          <t>WP-04 regression stage parked</t>
        </is>
      </c>
      <c r="D6" t="inlineStr">
        <is>
          <t>WP-04; MR-04; Estimation Plan</t>
        </is>
      </c>
      <c r="E6" t="inlineStr">
        <is>
          <t>Kept the completed SELIC rationale and Brazil 3M DI data/reproducibility package, but changed the regression-dependent stage to Deferred. Models 5-6 will run only after the data freeze and core baseline rerun.</t>
        </is>
      </c>
    </row>
    <row r="7" ht="58" customHeight="1" s="40">
      <c r="A7" t="inlineStr">
        <is>
          <t>v13-03</t>
        </is>
      </c>
      <c r="B7" t="inlineStr">
        <is>
          <t>1-Oct-2026</t>
        </is>
      </c>
      <c r="C7" t="inlineStr">
        <is>
          <t>VIX audit activated</t>
        </is>
      </c>
      <c r="D7" t="inlineStr">
        <is>
          <t>WP-06; MR-09; Dashboard; Estimation Plan</t>
        </is>
      </c>
      <c r="E7" t="inlineStr">
        <is>
          <t>Activated VIX as the current explanatory-variable audit. Required sequence is source/ticker -&gt; raw series -&gt; monthly convention -&gt; panel match -&gt; transformation/scaling -&gt; economic label; final sign interpretation waits for post-freeze DK results.</t>
        </is>
      </c>
    </row>
    <row r="8" ht="58" customHeight="1" s="40">
      <c r="A8" t="inlineStr">
        <is>
          <t>v13-04</t>
        </is>
      </c>
      <c r="B8" t="inlineStr">
        <is>
          <t>1-Oct-2026</t>
        </is>
      </c>
      <c r="C8" t="inlineStr">
        <is>
          <t>Estimation sequence revised to avoid rework</t>
        </is>
      </c>
      <c r="D8" t="inlineStr">
        <is>
          <t>Revision Tracker; Action Sequence; Estimation Plan</t>
        </is>
      </c>
      <c r="E8" t="inlineStr">
        <is>
          <t>New sequence: audit/finalize explanatory variables -&gt; freeze authoritative panel -&gt; rerun baseline FE-DK once -&gt; diagnostics -&gt; targeted robustness, including the referee-only Brazil 3M DI exercise.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v14 Change Log</t>
        </is>
      </c>
    </row>
    <row r="2" ht="38" customHeight="1" s="40">
      <c r="A2" s="48" t="inlineStr">
        <is>
          <t>Changes introduced on 2-Oct-2026 after completing the pre-freeze VIX data/proxy audit, correcting the thesis VIX/H1 wording, and continuing the Econometric Panel Data Freeze Gate with the remaining baseline-regressor audits.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v14-01</t>
        </is>
      </c>
      <c r="B5" t="inlineStr">
        <is>
          <t>2-Oct-2026</t>
        </is>
      </c>
      <c r="C5" t="inlineStr">
        <is>
          <t>VIX source and monthly-history audit completed</t>
        </is>
      </c>
      <c r="D5" t="inlineStr">
        <is>
          <t>WP-06; MR-09; README; Dashboard</t>
        </is>
      </c>
      <c r="E5" t="inlineStr">
        <is>
          <t>Confirmed macro_explanatory_variables.xlsx / VIX Index. Bloomberg field metadata is not preserved in the values-only workbook. Independent validation found 187/187 monthly values from Jan-2010 to Jul-2025 equal to FRED VIXCLS at the last available daily close; workbook dates use the last weekday of each month as the monthly label.</t>
        </is>
      </c>
    </row>
    <row r="6" ht="64" customHeight="1" s="40">
      <c r="A6" t="inlineStr">
        <is>
          <t>v14-02</t>
        </is>
      </c>
      <c r="B6" t="inlineStr">
        <is>
          <t>2-Oct-2026</t>
        </is>
      </c>
      <c r="C6" t="inlineStr">
        <is>
          <t>VIX panel mapping and scaling validated</t>
        </is>
      </c>
      <c r="D6" t="inlineStr">
        <is>
          <t>WP-06; MR-09; Estimation Plan</t>
        </is>
      </c>
      <c r="E6" t="inlineStr">
        <is>
          <t>Matched 4,229/4,229 panel rows exactly across 164 distinct panel months, with no missing or conflicting within-month VIX values. Stata uses VIX in raw index points; no log, standardization, divide-by-100 or differencing is applied.</t>
        </is>
      </c>
    </row>
    <row r="7" ht="64" customHeight="1" s="40">
      <c r="A7" t="inlineStr">
        <is>
          <t>v14-03</t>
        </is>
      </c>
      <c r="B7" t="inlineStr">
        <is>
          <t>2-Oct-2026</t>
        </is>
      </c>
      <c r="C7" t="inlineStr">
        <is>
          <t>VIX terminology and H1 framing corrected</t>
        </is>
      </c>
      <c r="D7" t="inlineStr">
        <is>
          <t>WP-06; MR-09; thesis Sections 3-5</t>
        </is>
      </c>
      <c r="E7" t="inlineStr">
        <is>
          <t>Reframed VIX as expected 30-day S&amp;P 500 implied volatility used as a parsimonious proxy for global financial stress, not pure risk aversion. H1/Table 1 and VIX result labels were updated accordingly while preserving the positive ex-ante sign prediction.</t>
        </is>
      </c>
    </row>
    <row r="8" ht="64" customHeight="1" s="40">
      <c r="A8" t="inlineStr">
        <is>
          <t>v14-04</t>
        </is>
      </c>
      <c r="B8" t="inlineStr">
        <is>
          <t>2-Oct-2026</t>
        </is>
      </c>
      <c r="C8" t="inlineStr">
        <is>
          <t>Data Freeze Gate handed to remaining regressors</t>
        </is>
      </c>
      <c r="D8" t="inlineStr">
        <is>
          <t>Dashboard; Action Sequence; Estimation Plan</t>
        </is>
      </c>
      <c r="E8" t="inlineStr">
        <is>
          <t>MR-09 remains In progress only for post-freeze raw/partial correlations and final DK sign/H1 interpretation. No final sign narrative is accepted yet. Continue the pre-freeze audit with nominal Fed 3M Forward, then the remaining baseline regressors; do not rerun final baseline or robustness models before the gate passes.</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v15 Change Log</t>
        </is>
      </c>
    </row>
    <row r="2" ht="38" customHeight="1" s="40">
      <c r="A2" s="48" t="inlineStr">
        <is>
          <t>Changes introduced on 2-Oct-2026 after identifying and independently validating the Bloomberg source for nominal Fed 3M Forward and completing the raw-series and monthly-convention stages of the Data Freeze Gate.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v15-01</t>
        </is>
      </c>
      <c r="B5" t="inlineStr">
        <is>
          <t>2-Oct-2026</t>
        </is>
      </c>
      <c r="C5" t="inlineStr">
        <is>
          <t>Fed 3M Forward Bloomberg source identified</t>
        </is>
      </c>
      <c r="D5" t="inlineStr">
        <is>
          <t>WP-06; MR-09; Estimation Plan</t>
        </is>
      </c>
      <c r="E5" t="inlineStr">
        <is>
          <t>Identified the baseline panel series as Bloomberg USSOC Curncy, field PX_LAST, the 3M USD OIS fixed rate. BQNT reproduces panel spot-check values exactly to four decimals. FEDL01 Index is explicitly rejected as the source because it is the effective Fed Funds rate and does not match the panel series.</t>
        </is>
      </c>
    </row>
    <row r="6" ht="64" customHeight="1" s="40">
      <c r="A6" t="inlineStr">
        <is>
          <t>v15-02</t>
        </is>
      </c>
      <c r="B6" t="inlineStr">
        <is>
          <t>2-Oct-2026</t>
        </is>
      </c>
      <c r="C6" t="inlineStr">
        <is>
          <t>Fed raw-series audit completed</t>
        </is>
      </c>
      <c r="D6" t="inlineStr">
        <is>
          <t>WP-06; MR-09</t>
        </is>
      </c>
      <c r="E6" t="inlineStr">
        <is>
          <t>Validated the native daily USSOC Curncy history over 2010-2025. The series is quoted in percentage points, has normal non-quotation-day gaps, and provides continuous coverage across the thesis sample.</t>
        </is>
      </c>
    </row>
    <row r="7" ht="64" customHeight="1" s="40">
      <c r="A7" t="inlineStr">
        <is>
          <t>v15-03</t>
        </is>
      </c>
      <c r="B7" t="inlineStr">
        <is>
          <t>2-Oct-2026</t>
        </is>
      </c>
      <c r="C7" t="inlineStr">
        <is>
          <t>Fed monthly convention validated</t>
        </is>
      </c>
      <c r="D7" t="inlineStr">
        <is>
          <t>WP-06; MR-09</t>
        </is>
      </c>
      <c r="E7" t="inlineStr">
        <is>
          <t>Validated calendar-month-end extraction with the previous available quote used when month-end is not a quotation day. The resulting 2011 monthly values reproduce the panel exactly, including months whose panel date is the last business day.</t>
        </is>
      </c>
    </row>
    <row r="8" ht="64" customHeight="1" s="40">
      <c r="A8" t="inlineStr">
        <is>
          <t>v15-04</t>
        </is>
      </c>
      <c r="B8" t="inlineStr">
        <is>
          <t>2-Oct-2026</t>
        </is>
      </c>
      <c r="C8" t="inlineStr">
        <is>
          <t>Fed reproducibility package archived; audit remains open</t>
        </is>
      </c>
      <c r="D8" t="inlineStr">
        <is>
          <t>WP-06; MR-09; Dashboard; Action Sequence</t>
        </is>
      </c>
      <c r="E8" t="inlineStr">
        <is>
          <t>Committed the BQNT replication notebook and README in fb7748d under datos_y_modelos/db/brazil_macroeconomic_data/fed_3m_forward/. MR-09 remains In progress: Step 4 full-sample panel match, Step 5 transformation/scaling and Step 6 economic-label review still precede panel freeze and any regression rerun.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v16 Change Log</t>
        </is>
      </c>
    </row>
    <row r="2" ht="38" customHeight="1" s="40">
      <c r="A2" s="48" t="inlineStr">
        <is>
          <t>Changes introduced on 2-Oct-2026 after completing the full six-step Fed 3M Forward Data Freeze audit, closing MR-09 as a proxy/data-definition issue, and handing the pre-freeze sequence to USD/BRL and the remaining baseline regressors.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v16-01</t>
        </is>
      </c>
      <c r="B5" t="inlineStr">
        <is>
          <t>2-Oct-2026</t>
        </is>
      </c>
      <c r="C5" t="inlineStr">
        <is>
          <t>Fed full-sample panel match passed</t>
        </is>
      </c>
      <c r="D5" t="inlineStr">
        <is>
          <t>WP-06; MR-09; Data Freeze Gate</t>
        </is>
      </c>
      <c r="E5" t="inlineStr">
        <is>
          <t>Compared every distinct panel month to Bloomberg USSOC Curncy / PX_LAST by calendar month: 164/164 matched, 0 missing Bloomberg rows, 164 exact matches, 0 mismatches, maximum absolute difference 0.0.</t>
        </is>
      </c>
    </row>
    <row r="6" ht="64" customHeight="1" s="40">
      <c r="A6" t="inlineStr">
        <is>
          <t>v16-02</t>
        </is>
      </c>
      <c r="B6" t="inlineStr">
        <is>
          <t>2-Oct-2026</t>
        </is>
      </c>
      <c r="C6" t="inlineStr">
        <is>
          <t>Fed transformation/scaling validated</t>
        </is>
      </c>
      <c r="D6" t="inlineStr">
        <is>
          <t>WP-06; MR-09; Estimation Plan</t>
        </is>
      </c>
      <c r="E6" t="inlineStr">
        <is>
          <t>Confirmed the baseline uses fed_3m_forward directly in Bloomberg native percentage-point units. No divide-by-100, multiply-by-100, log, standardization or z-score is applied; D.fed_3m_forward is created only for the separate macro-differences robustness specification.</t>
        </is>
      </c>
    </row>
    <row r="7" ht="64" customHeight="1" s="40">
      <c r="A7" t="inlineStr">
        <is>
          <t>v16-03</t>
        </is>
      </c>
      <c r="B7" t="inlineStr">
        <is>
          <t>2-Oct-2026</t>
        </is>
      </c>
      <c r="C7" t="inlineStr">
        <is>
          <t>Fed economic label corrected without renaming shorthand</t>
        </is>
      </c>
      <c r="D7" t="inlineStr">
        <is>
          <t>WP-06; MR-09; thesis Sec. 4.5.3</t>
        </is>
      </c>
      <c r="E7" t="inlineStr">
        <is>
          <t>Retained “Fed 3M Forward” as the intuitive thesis-facing shorthand, but replaced the inaccurate forward-curve construction text with the exact definition: Bloomberg USSOC Curncy / PX_LAST, 3M USD OIS fixed rate referencing EFFR, last available monthly close, forward-looking in economic content but not a forward-starting rate.</t>
        </is>
      </c>
    </row>
    <row r="8" ht="64" customHeight="1" s="40">
      <c r="A8" t="inlineStr">
        <is>
          <t>v16-04</t>
        </is>
      </c>
      <c r="B8" t="inlineStr">
        <is>
          <t>2-Oct-2026</t>
        </is>
      </c>
      <c r="C8" t="inlineStr">
        <is>
          <t>MR-09 closed; Data Freeze Gate moves to USD/BRL</t>
        </is>
      </c>
      <c r="D8" t="inlineStr">
        <is>
          <t>MR-09; WP-06; Dashboard; Action Sequence</t>
        </is>
      </c>
      <c r="E8" t="inlineStr">
        <is>
          <t>Closed MR-09 as a VIX/global-proxy data-definition issue after the VIX audit and companion Fed six-step audit. Post-freeze raw/partial correlations and final VIX sign/H1 interpretation are consolidated under MR-18/MR-19. WP-06 remains the active Data Freeze Gate container, with USD/BRL next; no final regression rerun yet.</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v17 Change Log</t>
        </is>
      </c>
    </row>
    <row r="2" ht="38" customHeight="1" s="40">
      <c r="A2" s="48" t="inlineStr">
        <is>
          <t>Changes introduced on 2-Oct-2026 after completing the six-step nominal USD/BRL Data Freeze audit, documenting its provenance limitation, and handing the pre-freeze sequence to GDP YoY while preserving the separate RER audit dependency.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v17-01</t>
        </is>
      </c>
      <c r="B5" t="inlineStr">
        <is>
          <t>2-Oct-2026</t>
        </is>
      </c>
      <c r="C5" t="inlineStr">
        <is>
          <t>USD/BRL source, raw series and month-end convention validated</t>
        </is>
      </c>
      <c r="D5" t="inlineStr">
        <is>
          <t>WP-06; Data Freeze Gate; Estimation Plan</t>
        </is>
      </c>
      <c r="E5" t="inlineStr">
        <is>
          <t>Macro workbook identifies “USDBRL Spot Exchange Rate - Price of 1 USD in BRL” / USDBRL Curncy. Original Bloomberg formula/raw source layer is not retained and repo search found no second ticker trace. Thesis-window source series has 187 uninterrupted monthly observations Jan-2010 to Jul-2025, no zeros/blanks/duplicate months, and all dates are the last weekday of the month.</t>
        </is>
      </c>
    </row>
    <row r="6" ht="64" customHeight="1" s="40">
      <c r="A6" t="inlineStr">
        <is>
          <t>v17-02</t>
        </is>
      </c>
      <c r="B6" t="inlineStr">
        <is>
          <t>2-Oct-2026</t>
        </is>
      </c>
      <c r="C6" t="inlineStr">
        <is>
          <t>USD/BRL full panel match passed</t>
        </is>
      </c>
      <c r="D6" t="inlineStr">
        <is>
          <t>WP-06; Data Freeze Gate</t>
        </is>
      </c>
      <c r="E6" t="inlineStr">
        <is>
          <t>Panel ts.usd_brl contains 0 blanks across 4,229 rows and 164 unique months (Dec-2010 to Jun-2025). Each month has one common FX value; no panel months are absent from the macro source; month-by-month comparison produced 0 mismatches.</t>
        </is>
      </c>
    </row>
    <row r="7" ht="64" customHeight="1" s="40">
      <c r="A7" t="inlineStr">
        <is>
          <t>v17-03</t>
        </is>
      </c>
      <c r="B7" t="inlineStr">
        <is>
          <t>2-Oct-2026</t>
        </is>
      </c>
      <c r="C7" t="inlineStr">
        <is>
          <t>USD/BRL scaling and economic label validated</t>
        </is>
      </c>
      <c r="D7" t="inlineStr">
        <is>
          <t>WP-06; Estimation Plan; thesis FX wording</t>
        </is>
      </c>
      <c r="E7" t="inlineStr">
        <is>
          <t>Baseline Stata uses usd_brl directly in nominal BRL-per-USD levels, with no log, /100, *100, z-score or standardization. D_usd_brl = D.usd_brl exists only for the macro-differences robustness. Economic label frozen as nominal USD/BRL (BRL per USD), month-end spot; an increase denotes BRL depreciation.</t>
        </is>
      </c>
    </row>
    <row r="8" ht="64" customHeight="1" s="40">
      <c r="A8" t="inlineStr">
        <is>
          <t>v17-04</t>
        </is>
      </c>
      <c r="B8" t="inlineStr">
        <is>
          <t>2-Oct-2026</t>
        </is>
      </c>
      <c r="C8" t="inlineStr">
        <is>
          <t>Data Freeze Gate moves to GDP YoY; RER dependency preserved</t>
        </is>
      </c>
      <c r="D8" t="inlineStr">
        <is>
          <t>Dashboard; Revision Tracker; Action Sequence; Estimation Plan</t>
        </is>
      </c>
      <c r="E8" t="inlineStr">
        <is>
          <t>Next audit is GDP YoY under the same six-step sequence. No final regressions may be rerun yet. The completed nominal NER audit does not validate RER; if RER replaces NER in the final core table, RER must be audited separately before panel freeze.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2026-10-02T21:56:09Z</dcterms:created>
  <dcterms:modified xmlns:dcterms="http://purl.org/dc/terms/" xmlns:xsi="http://www.w3.org/2001/XMLSchema-instance" xsi:type="dcterms:W3CDTF">2026-10-03T00:20:45Z</dcterms:modified>
</cp:coreProperties>
</file>