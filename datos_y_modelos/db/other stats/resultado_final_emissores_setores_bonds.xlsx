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Tesis/tmf_thiago_siqueira/datos_y_modelos/db/other stats/"/>
    </mc:Choice>
  </mc:AlternateContent>
  <xr:revisionPtr revIDLastSave="0" documentId="8_{1BC76C4E-7FCB-4E62-B7D4-CC3CE4953956}" xr6:coauthVersionLast="47" xr6:coauthVersionMax="47" xr10:uidLastSave="{00000000-0000-0000-0000-000000000000}"/>
  <bookViews>
    <workbookView xWindow="-110" yWindow="-110" windowWidth="19420" windowHeight="11620" xr2:uid="{731155FD-9295-4C67-BAB0-C256536BE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4" i="1"/>
  <c r="J3" i="1"/>
  <c r="E1" i="1"/>
  <c r="F1" i="1" a="1"/>
  <c r="F1" i="1" s="1"/>
  <c r="G1" i="1" s="1"/>
  <c r="D1" i="1"/>
  <c r="C1" i="1"/>
  <c r="B1" i="1"/>
  <c r="A1" i="1"/>
  <c r="G2" i="1" l="1"/>
  <c r="H12" i="1"/>
  <c r="H10" i="1"/>
  <c r="H9" i="1"/>
  <c r="H8" i="1"/>
  <c r="H7" i="1"/>
  <c r="H11" i="1"/>
  <c r="H5" i="1"/>
  <c r="H6" i="1"/>
  <c r="H3" i="1"/>
  <c r="H4" i="1"/>
  <c r="H2" i="1"/>
  <c r="H1" i="1"/>
  <c r="G12" i="1"/>
  <c r="G10" i="1"/>
  <c r="G7" i="1"/>
  <c r="G6" i="1"/>
  <c r="G11" i="1"/>
  <c r="G8" i="1"/>
  <c r="G5" i="1"/>
  <c r="G9" i="1"/>
  <c r="G4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<sst xmlns="http://schemas.openxmlformats.org/spreadsheetml/2006/main" count="417" uniqueCount="194">
  <si>
    <t>bond_id</t>
  </si>
  <si>
    <t>issuer</t>
  </si>
  <si>
    <t>exchange id</t>
  </si>
  <si>
    <t>sector</t>
  </si>
  <si>
    <t>Home Builders</t>
  </si>
  <si>
    <t>Electric</t>
  </si>
  <si>
    <t>CCR SA</t>
  </si>
  <si>
    <t>Commercial Services</t>
  </si>
  <si>
    <t>ENEVA SA</t>
  </si>
  <si>
    <t>RUMO SA</t>
  </si>
  <si>
    <t>Transportation</t>
  </si>
  <si>
    <t>Iron/Steel</t>
  </si>
  <si>
    <t>Energy-Alternate Sources</t>
  </si>
  <si>
    <t>ENERGISA SA</t>
  </si>
  <si>
    <t>Pharmaceuticals</t>
  </si>
  <si>
    <t>UNIDAS SA</t>
  </si>
  <si>
    <t>VALE SA</t>
  </si>
  <si>
    <t>Food</t>
  </si>
  <si>
    <t>KLABIN SA</t>
  </si>
  <si>
    <t>Packaging&amp;Containers</t>
  </si>
  <si>
    <t>Oil&amp;Gas</t>
  </si>
  <si>
    <t>Gas</t>
  </si>
  <si>
    <t>SUZANO SA</t>
  </si>
  <si>
    <t>Forest Products&amp;Paper</t>
  </si>
  <si>
    <t>days_to_maturity</t>
  </si>
  <si>
    <t xml:space="preserve">AM250786 </t>
  </si>
  <si>
    <t xml:space="preserve">AM934900 </t>
  </si>
  <si>
    <t xml:space="preserve">AN275276 </t>
  </si>
  <si>
    <t xml:space="preserve">AP304401 </t>
  </si>
  <si>
    <t xml:space="preserve">AQ373215 </t>
  </si>
  <si>
    <t xml:space="preserve">BG015275 </t>
  </si>
  <si>
    <t xml:space="preserve">BK296481 </t>
  </si>
  <si>
    <t xml:space="preserve">BQ418507 </t>
  </si>
  <si>
    <t xml:space="preserve">BQ418645 </t>
  </si>
  <si>
    <t xml:space="preserve">BQ883112 </t>
  </si>
  <si>
    <t xml:space="preserve">BR877654 </t>
  </si>
  <si>
    <t xml:space="preserve">BS068433 </t>
  </si>
  <si>
    <t xml:space="preserve">BS071367 </t>
  </si>
  <si>
    <t xml:space="preserve">BS195336 </t>
  </si>
  <si>
    <t xml:space="preserve">BU507495 </t>
  </si>
  <si>
    <t xml:space="preserve">BV932280 </t>
  </si>
  <si>
    <t xml:space="preserve">BV932351 </t>
  </si>
  <si>
    <t xml:space="preserve">BW472288 </t>
  </si>
  <si>
    <t xml:space="preserve">BW472328 </t>
  </si>
  <si>
    <t xml:space="preserve">BW473011 </t>
  </si>
  <si>
    <t xml:space="preserve">BW497354 </t>
  </si>
  <si>
    <t xml:space="preserve">BW498002 </t>
  </si>
  <si>
    <t xml:space="preserve">BX225588 </t>
  </si>
  <si>
    <t xml:space="preserve">BX954131 </t>
  </si>
  <si>
    <t xml:space="preserve">BX954171 </t>
  </si>
  <si>
    <t xml:space="preserve">BY457215 </t>
  </si>
  <si>
    <t xml:space="preserve">EI050425 </t>
  </si>
  <si>
    <t xml:space="preserve">EI092876 </t>
  </si>
  <si>
    <t xml:space="preserve">EI290797 </t>
  </si>
  <si>
    <t xml:space="preserve">EI301231 </t>
  </si>
  <si>
    <t xml:space="preserve">EI648119 </t>
  </si>
  <si>
    <t xml:space="preserve">EI854063 </t>
  </si>
  <si>
    <t xml:space="preserve">EJ087310 </t>
  </si>
  <si>
    <t xml:space="preserve">EJ088074 </t>
  </si>
  <si>
    <t xml:space="preserve">EJ383826 </t>
  </si>
  <si>
    <t xml:space="preserve">EJ493748 </t>
  </si>
  <si>
    <t xml:space="preserve">EJ588860 </t>
  </si>
  <si>
    <t xml:space="preserve">EJ589035 </t>
  </si>
  <si>
    <t xml:space="preserve">EK055372 </t>
  </si>
  <si>
    <t xml:space="preserve">EK055396 </t>
  </si>
  <si>
    <t xml:space="preserve">EK055420 </t>
  </si>
  <si>
    <t xml:space="preserve">EK064417 </t>
  </si>
  <si>
    <t xml:space="preserve">EK070894 </t>
  </si>
  <si>
    <t xml:space="preserve">EK128086 </t>
  </si>
  <si>
    <t xml:space="preserve">EK141999 </t>
  </si>
  <si>
    <t xml:space="preserve">EK142053 </t>
  </si>
  <si>
    <t xml:space="preserve">EK142311 </t>
  </si>
  <si>
    <t xml:space="preserve">EK142341 </t>
  </si>
  <si>
    <t xml:space="preserve">EK571905 </t>
  </si>
  <si>
    <t xml:space="preserve">EK648499 </t>
  </si>
  <si>
    <t xml:space="preserve">EK883780 </t>
  </si>
  <si>
    <t xml:space="preserve">QZ624782 </t>
  </si>
  <si>
    <t xml:space="preserve">UV462972 </t>
  </si>
  <si>
    <t xml:space="preserve">YN335920 </t>
  </si>
  <si>
    <t xml:space="preserve">YO670482 </t>
  </si>
  <si>
    <t xml:space="preserve">YP718140 </t>
  </si>
  <si>
    <t xml:space="preserve">YQ206351 </t>
  </si>
  <si>
    <t xml:space="preserve">YQ208159 </t>
  </si>
  <si>
    <t xml:space="preserve">YQ839719 </t>
  </si>
  <si>
    <t xml:space="preserve">YQ840089 </t>
  </si>
  <si>
    <t xml:space="preserve">YS128174 </t>
  </si>
  <si>
    <t xml:space="preserve">YS228296 </t>
  </si>
  <si>
    <t xml:space="preserve">YS230637 </t>
  </si>
  <si>
    <t xml:space="preserve">YS837387 </t>
  </si>
  <si>
    <t xml:space="preserve">YT761883 </t>
  </si>
  <si>
    <t xml:space="preserve">YU283312 </t>
  </si>
  <si>
    <t xml:space="preserve">YU286737 </t>
  </si>
  <si>
    <t xml:space="preserve">YU310933 </t>
  </si>
  <si>
    <t xml:space="preserve">YU355769 </t>
  </si>
  <si>
    <t xml:space="preserve">YU835365 </t>
  </si>
  <si>
    <t xml:space="preserve">YU835792 </t>
  </si>
  <si>
    <t xml:space="preserve">YV413479 </t>
  </si>
  <si>
    <t xml:space="preserve">YV486752 </t>
  </si>
  <si>
    <t xml:space="preserve">YV508978 </t>
  </si>
  <si>
    <t xml:space="preserve">YV654477 </t>
  </si>
  <si>
    <t xml:space="preserve">YV676520 </t>
  </si>
  <si>
    <t xml:space="preserve">YW157250 </t>
  </si>
  <si>
    <t xml:space="preserve">YW771149 </t>
  </si>
  <si>
    <t xml:space="preserve">YX040425 </t>
  </si>
  <si>
    <t xml:space="preserve">YX040855 </t>
  </si>
  <si>
    <t xml:space="preserve">YX600860 </t>
  </si>
  <si>
    <t xml:space="preserve">YX602185 </t>
  </si>
  <si>
    <t xml:space="preserve">ZB011331 </t>
  </si>
  <si>
    <t xml:space="preserve">ZB548158 </t>
  </si>
  <si>
    <t xml:space="preserve">ZB828103 </t>
  </si>
  <si>
    <t xml:space="preserve">ZB934221 </t>
  </si>
  <si>
    <t xml:space="preserve">ZD802339 </t>
  </si>
  <si>
    <t xml:space="preserve">ZF941921 </t>
  </si>
  <si>
    <t xml:space="preserve">ZG133848 </t>
  </si>
  <si>
    <t xml:space="preserve">ZG995941 </t>
  </si>
  <si>
    <t xml:space="preserve">ZH026750 </t>
  </si>
  <si>
    <t xml:space="preserve">ZH155210 </t>
  </si>
  <si>
    <t xml:space="preserve">ZH196537 </t>
  </si>
  <si>
    <t xml:space="preserve">ZH598042 </t>
  </si>
  <si>
    <t xml:space="preserve">ZH742226 </t>
  </si>
  <si>
    <t xml:space="preserve">ZH742493 </t>
  </si>
  <si>
    <t xml:space="preserve">ZH789567 </t>
  </si>
  <si>
    <t xml:space="preserve">ZH789625 </t>
  </si>
  <si>
    <t xml:space="preserve">ZJ641246 </t>
  </si>
  <si>
    <t xml:space="preserve">ZO419220 </t>
  </si>
  <si>
    <t xml:space="preserve">ZO514485 </t>
  </si>
  <si>
    <t xml:space="preserve">ZO514510 </t>
  </si>
  <si>
    <t xml:space="preserve">ZQ942599 </t>
  </si>
  <si>
    <t>MRVE3</t>
  </si>
  <si>
    <t>CPLE6</t>
  </si>
  <si>
    <t>AURE3</t>
  </si>
  <si>
    <t>MOTV3</t>
  </si>
  <si>
    <t>ELET3</t>
  </si>
  <si>
    <t>ENEV3</t>
  </si>
  <si>
    <t>RAIL3</t>
  </si>
  <si>
    <t>CSNA3</t>
  </si>
  <si>
    <t>IVPR3B</t>
  </si>
  <si>
    <t>ISAE4</t>
  </si>
  <si>
    <t>RAIZ4</t>
  </si>
  <si>
    <t>ENGI3</t>
  </si>
  <si>
    <t>TAEE11</t>
  </si>
  <si>
    <t>CMIG4</t>
  </si>
  <si>
    <t>HYPE3</t>
  </si>
  <si>
    <t>RENT3</t>
  </si>
  <si>
    <t>MILS3</t>
  </si>
  <si>
    <t>VALE3</t>
  </si>
  <si>
    <t>MRSA5B</t>
  </si>
  <si>
    <t>EQTL3</t>
  </si>
  <si>
    <t>JALL3</t>
  </si>
  <si>
    <t>KLBN4</t>
  </si>
  <si>
    <t>STBP3</t>
  </si>
  <si>
    <t>BRAV3</t>
  </si>
  <si>
    <t>CSAN3</t>
  </si>
  <si>
    <t>SUZB3</t>
  </si>
  <si>
    <t>SRNA3</t>
  </si>
  <si>
    <t>MRV ENGENHAR</t>
  </si>
  <si>
    <t>PARANAIBA TR</t>
  </si>
  <si>
    <t>AES TIETE EN</t>
  </si>
  <si>
    <t>FURNAS CENTR</t>
  </si>
  <si>
    <t>CSN MINERACA</t>
  </si>
  <si>
    <t>AES TUCANO H</t>
  </si>
  <si>
    <t xml:space="preserve">RUMO  MALHA </t>
  </si>
  <si>
    <t xml:space="preserve">AUTO RAPOSO </t>
  </si>
  <si>
    <t xml:space="preserve">ISA ENERGIA </t>
  </si>
  <si>
    <t>MOTIVA INFRA</t>
  </si>
  <si>
    <t>RAIZEN ENERG</t>
  </si>
  <si>
    <t>TRANSMISSORA</t>
  </si>
  <si>
    <t>ENERGISA MAT</t>
  </si>
  <si>
    <t>COPEL DISTRI</t>
  </si>
  <si>
    <t xml:space="preserve">TRANSMISSAO </t>
  </si>
  <si>
    <t>CEMIG GERACA</t>
  </si>
  <si>
    <t xml:space="preserve">HYPERMARCAS </t>
  </si>
  <si>
    <t>MILLS ESTRUT</t>
  </si>
  <si>
    <t>CEMIG DISTRI</t>
  </si>
  <si>
    <t>SANTO ANTONI</t>
  </si>
  <si>
    <t>CONCESSIONAR</t>
  </si>
  <si>
    <t>MRS LOGISTIC</t>
  </si>
  <si>
    <t>RODOVIAS INT</t>
  </si>
  <si>
    <t>EQTL MARANHA</t>
  </si>
  <si>
    <t>JALLES MACHA</t>
  </si>
  <si>
    <t>AUREN PARTIC</t>
  </si>
  <si>
    <t>CIA ESTADUAL</t>
  </si>
  <si>
    <t>CIA ELETRICI</t>
  </si>
  <si>
    <t>EQUATORIAL P</t>
  </si>
  <si>
    <t>CIA SIDERURG</t>
  </si>
  <si>
    <t>EQUATORIAL G</t>
  </si>
  <si>
    <t>SANTOS BRASI</t>
  </si>
  <si>
    <t>BRAVA ENERGI</t>
  </si>
  <si>
    <t>CIA DE GAS D</t>
  </si>
  <si>
    <t xml:space="preserve">ENERGISA PB </t>
  </si>
  <si>
    <t>CENTRAIS ELE</t>
  </si>
  <si>
    <t>CO DE GAS DE</t>
  </si>
  <si>
    <t>SERENA GERAC</t>
  </si>
  <si>
    <t xml:space="preserve">CONTEINERES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</si>
</sst>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9A8F-FCE8-42D1-ABA8-3FAAB32B0BD6}">
  <dimension ref="A1:J106"/>
  <sheetViews>
    <sheetView tabSelected="1" workbookViewId="0">
      <selection activeCell="L4" sqref="L4"/>
    </sheetView>
  </sheetViews>
  <sheetFormatPr defaultRowHeight="14.5" x14ac:dyDescent="0.35"/>
  <cols>
    <col min="1" max="1" width="13.90625" bestFit="1" customWidth="1"/>
    <col min="2" max="2" width="26.54296875" bestFit="1" customWidth="1"/>
    <col min="3" max="3" width="10.36328125" bestFit="1" customWidth="1"/>
    <col min="4" max="4" width="21.453125" bestFit="1" customWidth="1"/>
    <col min="5" max="5" width="10.08984375" bestFit="1" customWidth="1"/>
  </cols>
  <sheetData>
    <row r="1" spans="1:10" x14ac:dyDescent="0.35">
      <c r="A1" s="3">
        <f t="shared" ref="A1:B1" si="0">COUNTA(_xlfn.UNIQUE(A4:A106))</f>
        <v>103</v>
      </c>
      <c r="B1" s="3">
        <f t="shared" si="0"/>
        <v>47</v>
      </c>
      <c r="C1" s="3">
        <f>COUNTA(_xlfn.UNIQUE(C4:C106))</f>
        <v>27</v>
      </c>
      <c r="D1" s="3">
        <f>COUNTA(_xlfn.UNIQUE(D4:D106))</f>
        <v>12</v>
      </c>
      <c r="E1" s="3">
        <f>COUNTA(_xlfn.UNIQUE(E4:E106))</f>
        <v>78</v>
      </c>
      <c r="F1" t="str" cm="1">
        <f t="array" ref="F1:F12">_xlfn.UNIQUE(D4:D106)</f>
        <v>Home Builders</v>
      </c>
      <c r="G1">
        <f t="shared" ref="G1:G12" si="1">COUNTIF($D:$D,F1)</f>
        <v>2</v>
      </c>
      <c r="H1">
        <f t="shared" ref="H1:H12" si="2">AVERAGEIF($D$4:$D$106,F1,$E$4:$E$106)</f>
        <v>5.4444444444444446</v>
      </c>
    </row>
    <row r="2" spans="1:10" x14ac:dyDescent="0.35">
      <c r="F2" t="str">
        <v>Electric</v>
      </c>
      <c r="G2">
        <f t="shared" si="1"/>
        <v>49</v>
      </c>
      <c r="H2">
        <f t="shared" si="2"/>
        <v>10.5404114026563</v>
      </c>
    </row>
    <row r="3" spans="1:1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24</v>
      </c>
      <c r="F3" t="str">
        <v>Commercial Services</v>
      </c>
      <c r="G3">
        <f t="shared" si="1"/>
        <v>10</v>
      </c>
      <c r="H3">
        <f t="shared" si="2"/>
        <v>8.8920634920634907</v>
      </c>
      <c r="J3" t="str">
        <f>LEFT(B3,20)</f>
        <v>issuer</v>
      </c>
    </row>
    <row r="4" spans="1:10" x14ac:dyDescent="0.35">
      <c r="A4" s="2" t="s">
        <v>25</v>
      </c>
      <c r="B4" s="2" t="s">
        <v>155</v>
      </c>
      <c r="C4" s="2" t="s">
        <v>128</v>
      </c>
      <c r="D4" s="2" t="s">
        <v>4</v>
      </c>
      <c r="E4" s="2">
        <v>4.6150793650793647</v>
      </c>
      <c r="F4" t="str">
        <v>Transportation</v>
      </c>
      <c r="G4">
        <f t="shared" si="1"/>
        <v>18</v>
      </c>
      <c r="H4">
        <f t="shared" si="2"/>
        <v>11.582671957671955</v>
      </c>
      <c r="J4" t="str">
        <f>LEFT(B4,12)</f>
        <v>MRV ENGENHAR</v>
      </c>
    </row>
    <row r="5" spans="1:10" x14ac:dyDescent="0.35">
      <c r="A5" s="2" t="s">
        <v>26</v>
      </c>
      <c r="B5" s="2" t="s">
        <v>156</v>
      </c>
      <c r="C5" s="2" t="s">
        <v>129</v>
      </c>
      <c r="D5" s="2" t="s">
        <v>5</v>
      </c>
      <c r="E5" s="2">
        <v>10.579365079365081</v>
      </c>
      <c r="F5" t="str">
        <v>Iron/Steel</v>
      </c>
      <c r="G5">
        <f t="shared" si="1"/>
        <v>9</v>
      </c>
      <c r="H5">
        <f t="shared" si="2"/>
        <v>10.419312169312169</v>
      </c>
      <c r="J5" t="str">
        <f t="shared" ref="J5:J68" si="3">LEFT(B5,12)</f>
        <v>PARANAIBA TR</v>
      </c>
    </row>
    <row r="6" spans="1:10" x14ac:dyDescent="0.35">
      <c r="A6" s="2" t="s">
        <v>27</v>
      </c>
      <c r="B6" s="2" t="s">
        <v>157</v>
      </c>
      <c r="C6" s="2" t="s">
        <v>130</v>
      </c>
      <c r="D6" s="2" t="s">
        <v>5</v>
      </c>
      <c r="E6" s="2">
        <v>6.8412698412698409</v>
      </c>
      <c r="F6" t="str">
        <v>Energy-Alternate Sources</v>
      </c>
      <c r="G6">
        <f t="shared" si="1"/>
        <v>6</v>
      </c>
      <c r="H6">
        <f t="shared" si="2"/>
        <v>8.2023809523809526</v>
      </c>
      <c r="J6" t="str">
        <f t="shared" si="3"/>
        <v>AES TIETE EN</v>
      </c>
    </row>
    <row r="7" spans="1:10" x14ac:dyDescent="0.35">
      <c r="A7" s="2" t="s">
        <v>28</v>
      </c>
      <c r="B7" s="2" t="s">
        <v>155</v>
      </c>
      <c r="C7" s="2" t="s">
        <v>128</v>
      </c>
      <c r="D7" s="2" t="s">
        <v>4</v>
      </c>
      <c r="E7" s="2">
        <v>6.2738095238095237</v>
      </c>
      <c r="F7" t="str">
        <v>Pharmaceuticals</v>
      </c>
      <c r="G7">
        <f t="shared" si="1"/>
        <v>1</v>
      </c>
      <c r="H7">
        <f t="shared" si="2"/>
        <v>5.2857142857142856</v>
      </c>
      <c r="J7" t="str">
        <f t="shared" si="3"/>
        <v>MRV ENGENHAR</v>
      </c>
    </row>
    <row r="8" spans="1:10" x14ac:dyDescent="0.35">
      <c r="A8" s="2" t="s">
        <v>29</v>
      </c>
      <c r="B8" s="2" t="s">
        <v>6</v>
      </c>
      <c r="C8" s="2" t="s">
        <v>131</v>
      </c>
      <c r="D8" s="2" t="s">
        <v>7</v>
      </c>
      <c r="E8" s="2">
        <v>6.6150793650793647</v>
      </c>
      <c r="F8" t="str">
        <v>Food</v>
      </c>
      <c r="G8">
        <f t="shared" si="1"/>
        <v>3</v>
      </c>
      <c r="H8">
        <f t="shared" si="2"/>
        <v>8.855820105820106</v>
      </c>
      <c r="J8" t="str">
        <f t="shared" si="3"/>
        <v>CCR SA</v>
      </c>
    </row>
    <row r="9" spans="1:10" x14ac:dyDescent="0.35">
      <c r="A9" s="2" t="s">
        <v>30</v>
      </c>
      <c r="B9" s="2" t="s">
        <v>158</v>
      </c>
      <c r="C9" s="2" t="s">
        <v>132</v>
      </c>
      <c r="D9" s="2" t="s">
        <v>5</v>
      </c>
      <c r="E9" s="2">
        <v>9.4960317460317452</v>
      </c>
      <c r="F9" t="str">
        <v>Packaging&amp;Containers</v>
      </c>
      <c r="G9">
        <f t="shared" si="1"/>
        <v>1</v>
      </c>
      <c r="H9">
        <f t="shared" si="2"/>
        <v>14.86904761904762</v>
      </c>
      <c r="J9" t="str">
        <f t="shared" si="3"/>
        <v>FURNAS CENTR</v>
      </c>
    </row>
    <row r="10" spans="1:10" x14ac:dyDescent="0.35">
      <c r="A10" s="2" t="s">
        <v>31</v>
      </c>
      <c r="B10" s="2" t="s">
        <v>8</v>
      </c>
      <c r="C10" s="2" t="s">
        <v>133</v>
      </c>
      <c r="D10" s="2" t="s">
        <v>5</v>
      </c>
      <c r="E10" s="2">
        <v>9.8134920634920633</v>
      </c>
      <c r="F10" t="str">
        <v>Oil&amp;Gas</v>
      </c>
      <c r="G10">
        <f t="shared" si="1"/>
        <v>1</v>
      </c>
      <c r="H10">
        <f t="shared" si="2"/>
        <v>9.825396825396826</v>
      </c>
      <c r="J10" t="str">
        <f t="shared" si="3"/>
        <v>ENEVA SA</v>
      </c>
    </row>
    <row r="11" spans="1:10" x14ac:dyDescent="0.35">
      <c r="A11" s="2" t="s">
        <v>32</v>
      </c>
      <c r="B11" s="2" t="s">
        <v>9</v>
      </c>
      <c r="C11" s="2" t="s">
        <v>134</v>
      </c>
      <c r="D11" s="2" t="s">
        <v>10</v>
      </c>
      <c r="E11" s="2">
        <v>14.78174603174603</v>
      </c>
      <c r="F11" t="str">
        <v>Gas</v>
      </c>
      <c r="G11">
        <f t="shared" si="1"/>
        <v>2</v>
      </c>
      <c r="H11">
        <f t="shared" si="2"/>
        <v>10.152777777777775</v>
      </c>
      <c r="J11" t="str">
        <f t="shared" si="3"/>
        <v>RUMO SA</v>
      </c>
    </row>
    <row r="12" spans="1:10" x14ac:dyDescent="0.35">
      <c r="A12" s="2" t="s">
        <v>33</v>
      </c>
      <c r="B12" s="2" t="s">
        <v>9</v>
      </c>
      <c r="C12" s="2" t="s">
        <v>134</v>
      </c>
      <c r="D12" s="2" t="s">
        <v>10</v>
      </c>
      <c r="E12" s="2">
        <v>9.8095238095238102</v>
      </c>
      <c r="F12" t="str">
        <v>Forest Products&amp;Paper</v>
      </c>
      <c r="G12">
        <f t="shared" si="1"/>
        <v>1</v>
      </c>
      <c r="H12">
        <f t="shared" si="2"/>
        <v>9.8293650793650791</v>
      </c>
      <c r="J12" t="str">
        <f t="shared" si="3"/>
        <v>RUMO SA</v>
      </c>
    </row>
    <row r="13" spans="1:10" x14ac:dyDescent="0.35">
      <c r="A13" s="2" t="s">
        <v>34</v>
      </c>
      <c r="B13" s="2" t="s">
        <v>159</v>
      </c>
      <c r="C13" s="2" t="s">
        <v>135</v>
      </c>
      <c r="D13" s="2" t="s">
        <v>11</v>
      </c>
      <c r="E13" s="2">
        <v>14.53968253968254</v>
      </c>
      <c r="J13" t="str">
        <f t="shared" si="3"/>
        <v>CSN MINERACA</v>
      </c>
    </row>
    <row r="14" spans="1:10" x14ac:dyDescent="0.35">
      <c r="A14" s="2" t="s">
        <v>35</v>
      </c>
      <c r="B14" s="2" t="s">
        <v>160</v>
      </c>
      <c r="C14" s="2" t="s">
        <v>130</v>
      </c>
      <c r="D14" s="2" t="s">
        <v>5</v>
      </c>
      <c r="E14" s="2">
        <v>19.515873015873019</v>
      </c>
      <c r="J14" t="str">
        <f t="shared" si="3"/>
        <v>AES TUCANO H</v>
      </c>
    </row>
    <row r="15" spans="1:10" x14ac:dyDescent="0.35">
      <c r="A15" s="2" t="s">
        <v>36</v>
      </c>
      <c r="B15" s="2" t="s">
        <v>161</v>
      </c>
      <c r="C15" s="2" t="s">
        <v>134</v>
      </c>
      <c r="D15" s="2" t="s">
        <v>10</v>
      </c>
      <c r="E15" s="2">
        <v>11.65079365079365</v>
      </c>
      <c r="J15" t="str">
        <f t="shared" si="3"/>
        <v xml:space="preserve">RUMO  MALHA </v>
      </c>
    </row>
    <row r="16" spans="1:10" x14ac:dyDescent="0.35">
      <c r="A16" s="2" t="s">
        <v>37</v>
      </c>
      <c r="B16" s="2" t="s">
        <v>162</v>
      </c>
      <c r="C16" s="2" t="s">
        <v>136</v>
      </c>
      <c r="D16" s="2" t="s">
        <v>7</v>
      </c>
      <c r="E16" s="2">
        <v>13.793650793650791</v>
      </c>
      <c r="J16" t="str">
        <f t="shared" si="3"/>
        <v xml:space="preserve">AUTO RAPOSO </v>
      </c>
    </row>
    <row r="17" spans="1:10" x14ac:dyDescent="0.35">
      <c r="A17" s="2" t="s">
        <v>38</v>
      </c>
      <c r="B17" s="2" t="s">
        <v>163</v>
      </c>
      <c r="C17" s="2" t="s">
        <v>137</v>
      </c>
      <c r="D17" s="2" t="s">
        <v>5</v>
      </c>
      <c r="E17" s="2">
        <v>17.527777777777779</v>
      </c>
      <c r="J17" t="str">
        <f t="shared" si="3"/>
        <v xml:space="preserve">ISA ENERGIA </v>
      </c>
    </row>
    <row r="18" spans="1:10" x14ac:dyDescent="0.35">
      <c r="A18" s="2" t="s">
        <v>39</v>
      </c>
      <c r="B18" s="2" t="s">
        <v>164</v>
      </c>
      <c r="C18" s="2" t="s">
        <v>131</v>
      </c>
      <c r="D18" s="2" t="s">
        <v>7</v>
      </c>
      <c r="E18" s="2">
        <v>13.547619047619049</v>
      </c>
      <c r="J18" t="str">
        <f t="shared" si="3"/>
        <v>MOTIVA INFRA</v>
      </c>
    </row>
    <row r="19" spans="1:10" x14ac:dyDescent="0.35">
      <c r="A19" s="2" t="s">
        <v>40</v>
      </c>
      <c r="B19" s="2" t="s">
        <v>165</v>
      </c>
      <c r="C19" s="2" t="s">
        <v>138</v>
      </c>
      <c r="D19" s="2" t="s">
        <v>12</v>
      </c>
      <c r="E19" s="2">
        <v>6.8412698412698409</v>
      </c>
      <c r="J19" t="str">
        <f t="shared" si="3"/>
        <v>RAIZEN ENERG</v>
      </c>
    </row>
    <row r="20" spans="1:10" x14ac:dyDescent="0.35">
      <c r="A20" s="2" t="s">
        <v>41</v>
      </c>
      <c r="B20" s="2" t="s">
        <v>165</v>
      </c>
      <c r="C20" s="2" t="s">
        <v>138</v>
      </c>
      <c r="D20" s="2" t="s">
        <v>12</v>
      </c>
      <c r="E20" s="2">
        <v>9.825396825396826</v>
      </c>
      <c r="J20" t="str">
        <f t="shared" si="3"/>
        <v>RAIZEN ENERG</v>
      </c>
    </row>
    <row r="21" spans="1:10" x14ac:dyDescent="0.35">
      <c r="A21" s="2" t="s">
        <v>42</v>
      </c>
      <c r="B21" s="2" t="s">
        <v>13</v>
      </c>
      <c r="C21" s="2" t="s">
        <v>139</v>
      </c>
      <c r="D21" s="2" t="s">
        <v>5</v>
      </c>
      <c r="E21" s="2">
        <v>6.5753968253968251</v>
      </c>
      <c r="J21" t="str">
        <f t="shared" si="3"/>
        <v>ENERGISA SA</v>
      </c>
    </row>
    <row r="22" spans="1:10" x14ac:dyDescent="0.35">
      <c r="A22" s="2" t="s">
        <v>43</v>
      </c>
      <c r="B22" s="2" t="s">
        <v>13</v>
      </c>
      <c r="C22" s="2" t="s">
        <v>139</v>
      </c>
      <c r="D22" s="2" t="s">
        <v>5</v>
      </c>
      <c r="E22" s="2">
        <v>9.5674603174603181</v>
      </c>
      <c r="J22" t="str">
        <f t="shared" si="3"/>
        <v>ENERGISA SA</v>
      </c>
    </row>
    <row r="23" spans="1:10" x14ac:dyDescent="0.35">
      <c r="A23" s="2" t="s">
        <v>44</v>
      </c>
      <c r="B23" s="2" t="s">
        <v>166</v>
      </c>
      <c r="C23" s="2" t="s">
        <v>140</v>
      </c>
      <c r="D23" s="2" t="s">
        <v>5</v>
      </c>
      <c r="E23" s="2">
        <v>6.833333333333333</v>
      </c>
      <c r="J23" t="str">
        <f t="shared" si="3"/>
        <v>TRANSMISSORA</v>
      </c>
    </row>
    <row r="24" spans="1:10" x14ac:dyDescent="0.35">
      <c r="A24" s="2" t="s">
        <v>45</v>
      </c>
      <c r="B24" s="2" t="s">
        <v>167</v>
      </c>
      <c r="C24" s="2" t="s">
        <v>139</v>
      </c>
      <c r="D24" s="2" t="s">
        <v>5</v>
      </c>
      <c r="E24" s="2">
        <v>6.5753968253968251</v>
      </c>
      <c r="J24" t="str">
        <f t="shared" si="3"/>
        <v>ENERGISA MAT</v>
      </c>
    </row>
    <row r="25" spans="1:10" x14ac:dyDescent="0.35">
      <c r="A25" s="2" t="s">
        <v>46</v>
      </c>
      <c r="B25" s="2" t="s">
        <v>167</v>
      </c>
      <c r="C25" s="2" t="s">
        <v>139</v>
      </c>
      <c r="D25" s="2" t="s">
        <v>5</v>
      </c>
      <c r="E25" s="2">
        <v>9.5674603174603181</v>
      </c>
      <c r="J25" t="str">
        <f t="shared" si="3"/>
        <v>ENERGISA MAT</v>
      </c>
    </row>
    <row r="26" spans="1:10" x14ac:dyDescent="0.35">
      <c r="A26" s="2" t="s">
        <v>47</v>
      </c>
      <c r="B26" s="2" t="s">
        <v>168</v>
      </c>
      <c r="C26" s="2" t="s">
        <v>129</v>
      </c>
      <c r="D26" s="2" t="s">
        <v>5</v>
      </c>
      <c r="E26" s="2">
        <v>9.4841269841269842</v>
      </c>
      <c r="J26" t="str">
        <f t="shared" si="3"/>
        <v>COPEL DISTRI</v>
      </c>
    </row>
    <row r="27" spans="1:10" x14ac:dyDescent="0.35">
      <c r="A27" s="2" t="s">
        <v>48</v>
      </c>
      <c r="B27" s="2" t="s">
        <v>8</v>
      </c>
      <c r="C27" s="2" t="s">
        <v>133</v>
      </c>
      <c r="D27" s="2" t="s">
        <v>5</v>
      </c>
      <c r="E27" s="2">
        <v>9.9087301587301582</v>
      </c>
      <c r="J27" t="str">
        <f t="shared" si="3"/>
        <v>ENEVA SA</v>
      </c>
    </row>
    <row r="28" spans="1:10" x14ac:dyDescent="0.35">
      <c r="A28" s="2" t="s">
        <v>49</v>
      </c>
      <c r="B28" s="2" t="s">
        <v>8</v>
      </c>
      <c r="C28" s="2" t="s">
        <v>133</v>
      </c>
      <c r="D28" s="2" t="s">
        <v>5</v>
      </c>
      <c r="E28" s="2">
        <v>14.87301587301587</v>
      </c>
      <c r="J28" t="str">
        <f t="shared" si="3"/>
        <v>ENEVA SA</v>
      </c>
    </row>
    <row r="29" spans="1:10" x14ac:dyDescent="0.35">
      <c r="A29" s="2" t="s">
        <v>50</v>
      </c>
      <c r="B29" s="2" t="s">
        <v>159</v>
      </c>
      <c r="C29" s="2" t="s">
        <v>135</v>
      </c>
      <c r="D29" s="2" t="s">
        <v>11</v>
      </c>
      <c r="E29" s="2">
        <v>9.8174603174603181</v>
      </c>
      <c r="J29" t="str">
        <f t="shared" si="3"/>
        <v>CSN MINERACA</v>
      </c>
    </row>
    <row r="30" spans="1:10" x14ac:dyDescent="0.35">
      <c r="A30" s="2" t="s">
        <v>51</v>
      </c>
      <c r="B30" s="2" t="s">
        <v>169</v>
      </c>
      <c r="C30" s="2" t="s">
        <v>137</v>
      </c>
      <c r="D30" s="2" t="s">
        <v>5</v>
      </c>
      <c r="E30" s="2">
        <v>6.5357142857142856</v>
      </c>
      <c r="J30" t="str">
        <f t="shared" si="3"/>
        <v xml:space="preserve">TRANSMISSAO </v>
      </c>
    </row>
    <row r="31" spans="1:10" x14ac:dyDescent="0.35">
      <c r="A31" s="2" t="s">
        <v>52</v>
      </c>
      <c r="B31" s="2" t="s">
        <v>170</v>
      </c>
      <c r="C31" s="2" t="s">
        <v>141</v>
      </c>
      <c r="D31" s="2" t="s">
        <v>5</v>
      </c>
      <c r="E31" s="2">
        <v>3.7222222222222219</v>
      </c>
      <c r="J31" t="str">
        <f t="shared" si="3"/>
        <v>CEMIG GERACA</v>
      </c>
    </row>
    <row r="32" spans="1:10" x14ac:dyDescent="0.35">
      <c r="A32" s="2" t="s">
        <v>53</v>
      </c>
      <c r="B32" s="2" t="s">
        <v>171</v>
      </c>
      <c r="C32" s="2" t="s">
        <v>142</v>
      </c>
      <c r="D32" s="2" t="s">
        <v>14</v>
      </c>
      <c r="E32" s="2">
        <v>5.2857142857142856</v>
      </c>
      <c r="J32" t="str">
        <f t="shared" si="3"/>
        <v xml:space="preserve">HYPERMARCAS </v>
      </c>
    </row>
    <row r="33" spans="1:10" x14ac:dyDescent="0.35">
      <c r="A33" s="2" t="s">
        <v>54</v>
      </c>
      <c r="B33" s="2" t="s">
        <v>166</v>
      </c>
      <c r="C33" s="2" t="s">
        <v>140</v>
      </c>
      <c r="D33" s="2" t="s">
        <v>5</v>
      </c>
      <c r="E33" s="2">
        <v>4.5317460317460316</v>
      </c>
      <c r="J33" t="str">
        <f t="shared" si="3"/>
        <v>TRANSMISSORA</v>
      </c>
    </row>
    <row r="34" spans="1:10" x14ac:dyDescent="0.35">
      <c r="A34" s="2" t="s">
        <v>55</v>
      </c>
      <c r="B34" s="2" t="s">
        <v>9</v>
      </c>
      <c r="C34" s="2" t="s">
        <v>134</v>
      </c>
      <c r="D34" s="2" t="s">
        <v>10</v>
      </c>
      <c r="E34" s="2">
        <v>6.7698412698412698</v>
      </c>
      <c r="J34" t="str">
        <f t="shared" si="3"/>
        <v>RUMO SA</v>
      </c>
    </row>
    <row r="35" spans="1:10" x14ac:dyDescent="0.35">
      <c r="A35" s="2" t="s">
        <v>56</v>
      </c>
      <c r="B35" s="2" t="s">
        <v>15</v>
      </c>
      <c r="C35" s="2" t="s">
        <v>143</v>
      </c>
      <c r="D35" s="2" t="s">
        <v>7</v>
      </c>
      <c r="E35" s="2">
        <v>4.2023809523809534</v>
      </c>
      <c r="J35" t="str">
        <f t="shared" si="3"/>
        <v>UNIDAS SA</v>
      </c>
    </row>
    <row r="36" spans="1:10" x14ac:dyDescent="0.35">
      <c r="A36" s="2" t="s">
        <v>57</v>
      </c>
      <c r="B36" s="2" t="s">
        <v>170</v>
      </c>
      <c r="C36" s="2" t="s">
        <v>141</v>
      </c>
      <c r="D36" s="2" t="s">
        <v>5</v>
      </c>
      <c r="E36" s="2">
        <v>6.8571428571428568</v>
      </c>
      <c r="J36" t="str">
        <f t="shared" si="3"/>
        <v>CEMIG GERACA</v>
      </c>
    </row>
    <row r="37" spans="1:10" x14ac:dyDescent="0.35">
      <c r="A37" s="2" t="s">
        <v>58</v>
      </c>
      <c r="B37" s="2" t="s">
        <v>170</v>
      </c>
      <c r="C37" s="2" t="s">
        <v>141</v>
      </c>
      <c r="D37" s="2" t="s">
        <v>5</v>
      </c>
      <c r="E37" s="2">
        <v>9.8492063492063497</v>
      </c>
      <c r="J37" t="str">
        <f t="shared" si="3"/>
        <v>CEMIG GERACA</v>
      </c>
    </row>
    <row r="38" spans="1:10" x14ac:dyDescent="0.35">
      <c r="A38" s="2" t="s">
        <v>59</v>
      </c>
      <c r="B38" s="2" t="s">
        <v>172</v>
      </c>
      <c r="C38" s="2" t="s">
        <v>144</v>
      </c>
      <c r="D38" s="2" t="s">
        <v>7</v>
      </c>
      <c r="E38" s="2">
        <v>5.3531746031746028</v>
      </c>
      <c r="J38" t="str">
        <f t="shared" si="3"/>
        <v>MILLS ESTRUT</v>
      </c>
    </row>
    <row r="39" spans="1:10" x14ac:dyDescent="0.35">
      <c r="A39" s="2" t="s">
        <v>60</v>
      </c>
      <c r="B39" s="2" t="s">
        <v>162</v>
      </c>
      <c r="C39" s="2" t="s">
        <v>136</v>
      </c>
      <c r="D39" s="2" t="s">
        <v>7</v>
      </c>
      <c r="E39" s="2">
        <v>11.83333333333333</v>
      </c>
      <c r="J39" t="str">
        <f t="shared" si="3"/>
        <v xml:space="preserve">AUTO RAPOSO </v>
      </c>
    </row>
    <row r="40" spans="1:10" x14ac:dyDescent="0.35">
      <c r="A40" s="2" t="s">
        <v>61</v>
      </c>
      <c r="B40" s="2" t="s">
        <v>173</v>
      </c>
      <c r="C40" s="2" t="s">
        <v>141</v>
      </c>
      <c r="D40" s="2" t="s">
        <v>5</v>
      </c>
      <c r="E40" s="2">
        <v>7.8571428571428568</v>
      </c>
      <c r="J40" t="str">
        <f t="shared" si="3"/>
        <v>CEMIG DISTRI</v>
      </c>
    </row>
    <row r="41" spans="1:10" x14ac:dyDescent="0.35">
      <c r="A41" s="2" t="s">
        <v>62</v>
      </c>
      <c r="B41" s="2" t="s">
        <v>173</v>
      </c>
      <c r="C41" s="2" t="s">
        <v>141</v>
      </c>
      <c r="D41" s="2" t="s">
        <v>5</v>
      </c>
      <c r="E41" s="2">
        <v>11.84920634920635</v>
      </c>
      <c r="J41" t="str">
        <f t="shared" si="3"/>
        <v>CEMIG DISTRI</v>
      </c>
    </row>
    <row r="42" spans="1:10" x14ac:dyDescent="0.35">
      <c r="A42" s="2" t="s">
        <v>63</v>
      </c>
      <c r="B42" s="2" t="s">
        <v>16</v>
      </c>
      <c r="C42" s="2" t="s">
        <v>145</v>
      </c>
      <c r="D42" s="2" t="s">
        <v>11</v>
      </c>
      <c r="E42" s="2">
        <v>6.7738095238095237</v>
      </c>
      <c r="J42" t="str">
        <f t="shared" si="3"/>
        <v>VALE SA</v>
      </c>
    </row>
    <row r="43" spans="1:10" x14ac:dyDescent="0.35">
      <c r="A43" s="2" t="s">
        <v>64</v>
      </c>
      <c r="B43" s="2" t="s">
        <v>16</v>
      </c>
      <c r="C43" s="2" t="s">
        <v>145</v>
      </c>
      <c r="D43" s="2" t="s">
        <v>11</v>
      </c>
      <c r="E43" s="2">
        <v>9.7539682539682548</v>
      </c>
      <c r="J43" t="str">
        <f t="shared" si="3"/>
        <v>VALE SA</v>
      </c>
    </row>
    <row r="44" spans="1:10" x14ac:dyDescent="0.35">
      <c r="A44" s="2" t="s">
        <v>65</v>
      </c>
      <c r="B44" s="2" t="s">
        <v>16</v>
      </c>
      <c r="C44" s="2" t="s">
        <v>145</v>
      </c>
      <c r="D44" s="2" t="s">
        <v>11</v>
      </c>
      <c r="E44" s="2">
        <v>14.72619047619048</v>
      </c>
      <c r="J44" t="str">
        <f t="shared" si="3"/>
        <v>VALE SA</v>
      </c>
    </row>
    <row r="45" spans="1:10" x14ac:dyDescent="0.35">
      <c r="A45" s="2" t="s">
        <v>66</v>
      </c>
      <c r="B45" s="2" t="s">
        <v>174</v>
      </c>
      <c r="C45" s="2" t="s">
        <v>132</v>
      </c>
      <c r="D45" s="2" t="s">
        <v>12</v>
      </c>
      <c r="E45" s="2">
        <v>7.6825396825396828</v>
      </c>
      <c r="J45" t="str">
        <f t="shared" si="3"/>
        <v>SANTO ANTONI</v>
      </c>
    </row>
    <row r="46" spans="1:10" x14ac:dyDescent="0.35">
      <c r="A46" s="2" t="s">
        <v>67</v>
      </c>
      <c r="B46" s="2" t="s">
        <v>16</v>
      </c>
      <c r="C46" s="2" t="s">
        <v>145</v>
      </c>
      <c r="D46" s="2" t="s">
        <v>11</v>
      </c>
      <c r="E46" s="2">
        <v>11.75793650793651</v>
      </c>
      <c r="J46" t="str">
        <f t="shared" si="3"/>
        <v>VALE SA</v>
      </c>
    </row>
    <row r="47" spans="1:10" x14ac:dyDescent="0.35">
      <c r="A47" s="2" t="s">
        <v>68</v>
      </c>
      <c r="B47" s="2" t="s">
        <v>174</v>
      </c>
      <c r="C47" s="2" t="s">
        <v>132</v>
      </c>
      <c r="D47" s="2" t="s">
        <v>12</v>
      </c>
      <c r="E47" s="2">
        <v>9.6666666666666661</v>
      </c>
      <c r="J47" t="str">
        <f t="shared" si="3"/>
        <v>SANTO ANTONI</v>
      </c>
    </row>
    <row r="48" spans="1:10" x14ac:dyDescent="0.35">
      <c r="A48" s="2" t="s">
        <v>69</v>
      </c>
      <c r="B48" s="2" t="s">
        <v>175</v>
      </c>
      <c r="C48" s="2" t="s">
        <v>136</v>
      </c>
      <c r="D48" s="2" t="s">
        <v>10</v>
      </c>
      <c r="E48" s="2">
        <v>10.412698412698409</v>
      </c>
      <c r="J48" t="str">
        <f t="shared" si="3"/>
        <v>CONCESSIONAR</v>
      </c>
    </row>
    <row r="49" spans="1:10" x14ac:dyDescent="0.35">
      <c r="A49" s="2" t="s">
        <v>70</v>
      </c>
      <c r="B49" s="2" t="s">
        <v>175</v>
      </c>
      <c r="C49" s="2" t="s">
        <v>136</v>
      </c>
      <c r="D49" s="2" t="s">
        <v>10</v>
      </c>
      <c r="E49" s="2">
        <v>10.65873015873016</v>
      </c>
      <c r="J49" t="str">
        <f t="shared" si="3"/>
        <v>CONCESSIONAR</v>
      </c>
    </row>
    <row r="50" spans="1:10" x14ac:dyDescent="0.35">
      <c r="A50" s="2" t="s">
        <v>71</v>
      </c>
      <c r="B50" s="2" t="s">
        <v>175</v>
      </c>
      <c r="C50" s="2" t="s">
        <v>136</v>
      </c>
      <c r="D50" s="2" t="s">
        <v>10</v>
      </c>
      <c r="E50" s="2">
        <v>10.91666666666667</v>
      </c>
      <c r="J50" t="str">
        <f t="shared" si="3"/>
        <v>CONCESSIONAR</v>
      </c>
    </row>
    <row r="51" spans="1:10" x14ac:dyDescent="0.35">
      <c r="A51" s="2" t="s">
        <v>72</v>
      </c>
      <c r="B51" s="2" t="s">
        <v>175</v>
      </c>
      <c r="C51" s="2" t="s">
        <v>136</v>
      </c>
      <c r="D51" s="2" t="s">
        <v>10</v>
      </c>
      <c r="E51" s="2">
        <v>11.170634920634919</v>
      </c>
      <c r="J51" t="str">
        <f t="shared" si="3"/>
        <v>CONCESSIONAR</v>
      </c>
    </row>
    <row r="52" spans="1:10" x14ac:dyDescent="0.35">
      <c r="A52" s="2" t="s">
        <v>73</v>
      </c>
      <c r="B52" s="2" t="s">
        <v>175</v>
      </c>
      <c r="C52" s="2" t="s">
        <v>131</v>
      </c>
      <c r="D52" s="2" t="s">
        <v>7</v>
      </c>
      <c r="E52" s="2">
        <v>4.4444444444444446</v>
      </c>
      <c r="J52" t="str">
        <f t="shared" si="3"/>
        <v>CONCESSIONAR</v>
      </c>
    </row>
    <row r="53" spans="1:10" x14ac:dyDescent="0.35">
      <c r="A53" s="2" t="s">
        <v>74</v>
      </c>
      <c r="B53" s="2" t="s">
        <v>176</v>
      </c>
      <c r="C53" s="2" t="s">
        <v>146</v>
      </c>
      <c r="D53" s="2" t="s">
        <v>10</v>
      </c>
      <c r="E53" s="2">
        <v>9.7619047619047628</v>
      </c>
      <c r="J53" t="str">
        <f t="shared" si="3"/>
        <v>MRS LOGISTIC</v>
      </c>
    </row>
    <row r="54" spans="1:10" x14ac:dyDescent="0.35">
      <c r="A54" s="2" t="s">
        <v>75</v>
      </c>
      <c r="B54" s="2" t="s">
        <v>177</v>
      </c>
      <c r="C54" s="2" t="s">
        <v>131</v>
      </c>
      <c r="D54" s="2" t="s">
        <v>7</v>
      </c>
      <c r="E54" s="2">
        <v>4.5198412698412698</v>
      </c>
      <c r="J54" t="str">
        <f t="shared" si="3"/>
        <v>RODOVIAS INT</v>
      </c>
    </row>
    <row r="55" spans="1:10" x14ac:dyDescent="0.35">
      <c r="A55" s="2" t="s">
        <v>76</v>
      </c>
      <c r="B55" s="2" t="s">
        <v>178</v>
      </c>
      <c r="C55" s="2" t="s">
        <v>147</v>
      </c>
      <c r="D55" s="2" t="s">
        <v>5</v>
      </c>
      <c r="E55" s="2">
        <v>6.7579365079365079</v>
      </c>
      <c r="J55" t="str">
        <f t="shared" si="3"/>
        <v>EQTL MARANHA</v>
      </c>
    </row>
    <row r="56" spans="1:10" x14ac:dyDescent="0.35">
      <c r="A56" s="2" t="s">
        <v>77</v>
      </c>
      <c r="B56" s="2" t="s">
        <v>16</v>
      </c>
      <c r="C56" s="2" t="s">
        <v>145</v>
      </c>
      <c r="D56" s="2" t="s">
        <v>11</v>
      </c>
      <c r="E56" s="2">
        <v>6.7619047619047619</v>
      </c>
      <c r="J56" t="str">
        <f t="shared" si="3"/>
        <v>VALE SA</v>
      </c>
    </row>
    <row r="57" spans="1:10" x14ac:dyDescent="0.35">
      <c r="A57" s="2" t="s">
        <v>78</v>
      </c>
      <c r="B57" s="2" t="s">
        <v>16</v>
      </c>
      <c r="C57" s="2" t="s">
        <v>145</v>
      </c>
      <c r="D57" s="2" t="s">
        <v>11</v>
      </c>
      <c r="E57" s="2">
        <v>9.8214285714285712</v>
      </c>
      <c r="J57" t="str">
        <f t="shared" si="3"/>
        <v>VALE SA</v>
      </c>
    </row>
    <row r="58" spans="1:10" x14ac:dyDescent="0.35">
      <c r="A58" s="2" t="s">
        <v>79</v>
      </c>
      <c r="B58" s="2" t="s">
        <v>179</v>
      </c>
      <c r="C58" s="2" t="s">
        <v>148</v>
      </c>
      <c r="D58" s="2" t="s">
        <v>17</v>
      </c>
      <c r="E58" s="2">
        <v>9.9007936507936503</v>
      </c>
      <c r="J58" t="str">
        <f t="shared" si="3"/>
        <v>JALLES MACHA</v>
      </c>
    </row>
    <row r="59" spans="1:10" x14ac:dyDescent="0.35">
      <c r="A59" s="2" t="s">
        <v>80</v>
      </c>
      <c r="B59" s="2" t="s">
        <v>180</v>
      </c>
      <c r="C59" s="2" t="s">
        <v>130</v>
      </c>
      <c r="D59" s="2" t="s">
        <v>5</v>
      </c>
      <c r="E59" s="2">
        <v>9.9007936507936503</v>
      </c>
      <c r="J59" t="str">
        <f t="shared" si="3"/>
        <v>AUREN PARTIC</v>
      </c>
    </row>
    <row r="60" spans="1:10" x14ac:dyDescent="0.35">
      <c r="A60" s="2" t="s">
        <v>81</v>
      </c>
      <c r="B60" s="2" t="s">
        <v>181</v>
      </c>
      <c r="C60" s="2" t="s">
        <v>135</v>
      </c>
      <c r="D60" s="2" t="s">
        <v>5</v>
      </c>
      <c r="E60" s="2">
        <v>16.61904761904762</v>
      </c>
      <c r="J60" t="str">
        <f t="shared" si="3"/>
        <v>CIA ESTADUAL</v>
      </c>
    </row>
    <row r="61" spans="1:10" x14ac:dyDescent="0.35">
      <c r="A61" s="2" t="s">
        <v>82</v>
      </c>
      <c r="B61" s="2" t="s">
        <v>181</v>
      </c>
      <c r="C61" s="2" t="s">
        <v>135</v>
      </c>
      <c r="D61" s="2" t="s">
        <v>5</v>
      </c>
      <c r="E61" s="2">
        <v>16.61904761904762</v>
      </c>
      <c r="J61" t="str">
        <f t="shared" si="3"/>
        <v>CIA ESTADUAL</v>
      </c>
    </row>
    <row r="62" spans="1:10" x14ac:dyDescent="0.35">
      <c r="A62" s="2" t="s">
        <v>83</v>
      </c>
      <c r="B62" s="2" t="s">
        <v>161</v>
      </c>
      <c r="C62" s="2" t="s">
        <v>134</v>
      </c>
      <c r="D62" s="2" t="s">
        <v>10</v>
      </c>
      <c r="E62" s="2">
        <v>11.805555555555561</v>
      </c>
      <c r="J62" t="str">
        <f t="shared" si="3"/>
        <v xml:space="preserve">RUMO  MALHA </v>
      </c>
    </row>
    <row r="63" spans="1:10" x14ac:dyDescent="0.35">
      <c r="A63" s="2" t="s">
        <v>84</v>
      </c>
      <c r="B63" s="2" t="s">
        <v>161</v>
      </c>
      <c r="C63" s="2" t="s">
        <v>134</v>
      </c>
      <c r="D63" s="2" t="s">
        <v>10</v>
      </c>
      <c r="E63" s="2">
        <v>14.797619047619049</v>
      </c>
      <c r="J63" t="str">
        <f t="shared" si="3"/>
        <v xml:space="preserve">RUMO  MALHA </v>
      </c>
    </row>
    <row r="64" spans="1:10" x14ac:dyDescent="0.35">
      <c r="A64" s="2" t="s">
        <v>85</v>
      </c>
      <c r="B64" s="2" t="s">
        <v>167</v>
      </c>
      <c r="C64" s="2" t="s">
        <v>139</v>
      </c>
      <c r="D64" s="2" t="s">
        <v>5</v>
      </c>
      <c r="E64" s="2">
        <v>9.8174603174603181</v>
      </c>
      <c r="J64" t="str">
        <f t="shared" si="3"/>
        <v>ENERGISA MAT</v>
      </c>
    </row>
    <row r="65" spans="1:10" x14ac:dyDescent="0.35">
      <c r="A65" s="2" t="s">
        <v>86</v>
      </c>
      <c r="B65" s="2" t="s">
        <v>182</v>
      </c>
      <c r="C65" s="2" t="s">
        <v>147</v>
      </c>
      <c r="D65" s="2" t="s">
        <v>5</v>
      </c>
      <c r="E65" s="2">
        <v>11.801587301587301</v>
      </c>
      <c r="J65" t="str">
        <f t="shared" si="3"/>
        <v>CIA ELETRICI</v>
      </c>
    </row>
    <row r="66" spans="1:10" x14ac:dyDescent="0.35">
      <c r="A66" s="2" t="s">
        <v>87</v>
      </c>
      <c r="B66" s="2" t="s">
        <v>183</v>
      </c>
      <c r="C66" s="2" t="s">
        <v>147</v>
      </c>
      <c r="D66" s="2" t="s">
        <v>5</v>
      </c>
      <c r="E66" s="2">
        <v>11.801587301587301</v>
      </c>
      <c r="J66" t="str">
        <f t="shared" si="3"/>
        <v>EQUATORIAL P</v>
      </c>
    </row>
    <row r="67" spans="1:10" x14ac:dyDescent="0.35">
      <c r="A67" s="2" t="s">
        <v>88</v>
      </c>
      <c r="B67" s="2" t="s">
        <v>166</v>
      </c>
      <c r="C67" s="2" t="s">
        <v>140</v>
      </c>
      <c r="D67" s="2" t="s">
        <v>5</v>
      </c>
      <c r="E67" s="2">
        <v>14.865079365079371</v>
      </c>
      <c r="J67" t="str">
        <f t="shared" si="3"/>
        <v>TRANSMISSORA</v>
      </c>
    </row>
    <row r="68" spans="1:10" x14ac:dyDescent="0.35">
      <c r="A68" s="2" t="s">
        <v>89</v>
      </c>
      <c r="B68" s="2" t="s">
        <v>184</v>
      </c>
      <c r="C68" s="2" t="s">
        <v>135</v>
      </c>
      <c r="D68" s="2" t="s">
        <v>11</v>
      </c>
      <c r="E68" s="2">
        <v>9.8214285714285712</v>
      </c>
      <c r="J68" t="str">
        <f t="shared" si="3"/>
        <v>CIA SIDERURG</v>
      </c>
    </row>
    <row r="69" spans="1:10" x14ac:dyDescent="0.35">
      <c r="A69" s="2" t="s">
        <v>90</v>
      </c>
      <c r="B69" s="2" t="s">
        <v>176</v>
      </c>
      <c r="C69" s="2" t="s">
        <v>146</v>
      </c>
      <c r="D69" s="2" t="s">
        <v>10</v>
      </c>
      <c r="E69" s="2">
        <v>11.793650793650791</v>
      </c>
      <c r="J69" t="str">
        <f t="shared" ref="J69:J106" si="4">LEFT(B69,12)</f>
        <v>MRS LOGISTIC</v>
      </c>
    </row>
    <row r="70" spans="1:10" x14ac:dyDescent="0.35">
      <c r="A70" s="2" t="s">
        <v>91</v>
      </c>
      <c r="B70" s="2" t="s">
        <v>176</v>
      </c>
      <c r="C70" s="2" t="s">
        <v>146</v>
      </c>
      <c r="D70" s="2" t="s">
        <v>10</v>
      </c>
      <c r="E70" s="2">
        <v>14.78174603174603</v>
      </c>
      <c r="J70" t="str">
        <f t="shared" si="4"/>
        <v>MRS LOGISTIC</v>
      </c>
    </row>
    <row r="71" spans="1:10" x14ac:dyDescent="0.35">
      <c r="A71" s="2" t="s">
        <v>92</v>
      </c>
      <c r="B71" s="2" t="s">
        <v>176</v>
      </c>
      <c r="C71" s="2" t="s">
        <v>146</v>
      </c>
      <c r="D71" s="2" t="s">
        <v>10</v>
      </c>
      <c r="E71" s="2">
        <v>9.7460317460317452</v>
      </c>
      <c r="J71" t="str">
        <f t="shared" si="4"/>
        <v>MRS LOGISTIC</v>
      </c>
    </row>
    <row r="72" spans="1:10" x14ac:dyDescent="0.35">
      <c r="A72" s="2" t="s">
        <v>93</v>
      </c>
      <c r="B72" s="2" t="s">
        <v>185</v>
      </c>
      <c r="C72" s="2" t="s">
        <v>147</v>
      </c>
      <c r="D72" s="2" t="s">
        <v>5</v>
      </c>
      <c r="E72" s="2">
        <v>11.793650793650791</v>
      </c>
      <c r="J72" t="str">
        <f t="shared" si="4"/>
        <v>EQUATORIAL G</v>
      </c>
    </row>
    <row r="73" spans="1:10" x14ac:dyDescent="0.35">
      <c r="A73" s="2" t="s">
        <v>94</v>
      </c>
      <c r="B73" s="2" t="s">
        <v>163</v>
      </c>
      <c r="C73" s="2" t="s">
        <v>137</v>
      </c>
      <c r="D73" s="2" t="s">
        <v>5</v>
      </c>
      <c r="E73" s="2">
        <v>11.88095238095238</v>
      </c>
      <c r="J73" t="str">
        <f t="shared" si="4"/>
        <v xml:space="preserve">ISA ENERGIA </v>
      </c>
    </row>
    <row r="74" spans="1:10" x14ac:dyDescent="0.35">
      <c r="A74" s="2" t="s">
        <v>95</v>
      </c>
      <c r="B74" s="2" t="s">
        <v>163</v>
      </c>
      <c r="C74" s="2" t="s">
        <v>137</v>
      </c>
      <c r="D74" s="2" t="s">
        <v>5</v>
      </c>
      <c r="E74" s="2">
        <v>14.861111111111111</v>
      </c>
      <c r="J74" t="str">
        <f t="shared" si="4"/>
        <v xml:space="preserve">ISA ENERGIA </v>
      </c>
    </row>
    <row r="75" spans="1:10" x14ac:dyDescent="0.35">
      <c r="A75" s="2" t="s">
        <v>96</v>
      </c>
      <c r="B75" s="2" t="s">
        <v>18</v>
      </c>
      <c r="C75" s="2" t="s">
        <v>149</v>
      </c>
      <c r="D75" s="2" t="s">
        <v>19</v>
      </c>
      <c r="E75" s="2">
        <v>14.86904761904762</v>
      </c>
      <c r="J75" t="str">
        <f t="shared" si="4"/>
        <v>KLABIN SA</v>
      </c>
    </row>
    <row r="76" spans="1:10" x14ac:dyDescent="0.35">
      <c r="A76" s="2" t="s">
        <v>97</v>
      </c>
      <c r="B76" s="2" t="s">
        <v>161</v>
      </c>
      <c r="C76" s="2" t="s">
        <v>134</v>
      </c>
      <c r="D76" s="2" t="s">
        <v>10</v>
      </c>
      <c r="E76" s="2">
        <v>11.801587301587301</v>
      </c>
      <c r="J76" t="str">
        <f t="shared" si="4"/>
        <v xml:space="preserve">RUMO  MALHA </v>
      </c>
    </row>
    <row r="77" spans="1:10" x14ac:dyDescent="0.35">
      <c r="A77" s="2" t="s">
        <v>98</v>
      </c>
      <c r="B77" s="2" t="s">
        <v>161</v>
      </c>
      <c r="C77" s="2" t="s">
        <v>134</v>
      </c>
      <c r="D77" s="2" t="s">
        <v>10</v>
      </c>
      <c r="E77" s="2">
        <v>11.801587301587301</v>
      </c>
      <c r="J77" t="str">
        <f t="shared" si="4"/>
        <v xml:space="preserve">RUMO  MALHA </v>
      </c>
    </row>
    <row r="78" spans="1:10" x14ac:dyDescent="0.35">
      <c r="A78" s="2" t="s">
        <v>99</v>
      </c>
      <c r="B78" s="2" t="s">
        <v>186</v>
      </c>
      <c r="C78" s="2" t="s">
        <v>150</v>
      </c>
      <c r="D78" s="2" t="s">
        <v>7</v>
      </c>
      <c r="E78" s="2">
        <v>9.825396825396826</v>
      </c>
      <c r="J78" t="str">
        <f t="shared" si="4"/>
        <v>SANTOS BRASI</v>
      </c>
    </row>
    <row r="79" spans="1:10" x14ac:dyDescent="0.35">
      <c r="A79" s="2" t="s">
        <v>100</v>
      </c>
      <c r="B79" s="2" t="s">
        <v>186</v>
      </c>
      <c r="C79" s="2" t="s">
        <v>150</v>
      </c>
      <c r="D79" s="2" t="s">
        <v>7</v>
      </c>
      <c r="E79" s="2">
        <v>14.78571428571429</v>
      </c>
      <c r="J79" t="str">
        <f t="shared" si="4"/>
        <v>SANTOS BRASI</v>
      </c>
    </row>
    <row r="80" spans="1:10" x14ac:dyDescent="0.35">
      <c r="A80" s="2" t="s">
        <v>101</v>
      </c>
      <c r="B80" s="2" t="s">
        <v>187</v>
      </c>
      <c r="C80" s="2" t="s">
        <v>151</v>
      </c>
      <c r="D80" s="2" t="s">
        <v>20</v>
      </c>
      <c r="E80" s="2">
        <v>9.825396825396826</v>
      </c>
      <c r="J80" t="str">
        <f t="shared" si="4"/>
        <v>BRAVA ENERGI</v>
      </c>
    </row>
    <row r="81" spans="1:10" x14ac:dyDescent="0.35">
      <c r="A81" s="2" t="s">
        <v>102</v>
      </c>
      <c r="B81" s="2" t="s">
        <v>188</v>
      </c>
      <c r="C81" s="2" t="s">
        <v>152</v>
      </c>
      <c r="D81" s="2" t="s">
        <v>21</v>
      </c>
      <c r="E81" s="2">
        <v>9.8214285714285712</v>
      </c>
      <c r="J81" t="str">
        <f t="shared" si="4"/>
        <v>CIA DE GAS D</v>
      </c>
    </row>
    <row r="82" spans="1:10" x14ac:dyDescent="0.35">
      <c r="A82" s="2" t="s">
        <v>103</v>
      </c>
      <c r="B82" s="2" t="s">
        <v>8</v>
      </c>
      <c r="C82" s="2" t="s">
        <v>133</v>
      </c>
      <c r="D82" s="2" t="s">
        <v>5</v>
      </c>
      <c r="E82" s="2">
        <v>14.793650793650791</v>
      </c>
      <c r="J82" t="str">
        <f t="shared" si="4"/>
        <v>ENEVA SA</v>
      </c>
    </row>
    <row r="83" spans="1:10" x14ac:dyDescent="0.35">
      <c r="A83" s="2" t="s">
        <v>104</v>
      </c>
      <c r="B83" s="2" t="s">
        <v>8</v>
      </c>
      <c r="C83" s="2" t="s">
        <v>133</v>
      </c>
      <c r="D83" s="2" t="s">
        <v>5</v>
      </c>
      <c r="E83" s="2">
        <v>9.8333333333333339</v>
      </c>
      <c r="J83" t="str">
        <f t="shared" si="4"/>
        <v>ENEVA SA</v>
      </c>
    </row>
    <row r="84" spans="1:10" x14ac:dyDescent="0.35">
      <c r="A84" s="2" t="s">
        <v>105</v>
      </c>
      <c r="B84" s="2" t="s">
        <v>168</v>
      </c>
      <c r="C84" s="2" t="s">
        <v>129</v>
      </c>
      <c r="D84" s="2" t="s">
        <v>5</v>
      </c>
      <c r="E84" s="2">
        <v>11.805555555555561</v>
      </c>
      <c r="J84" t="str">
        <f t="shared" si="4"/>
        <v>COPEL DISTRI</v>
      </c>
    </row>
    <row r="85" spans="1:10" x14ac:dyDescent="0.35">
      <c r="A85" s="2" t="s">
        <v>106</v>
      </c>
      <c r="B85" s="2" t="s">
        <v>179</v>
      </c>
      <c r="C85" s="2" t="s">
        <v>148</v>
      </c>
      <c r="D85" s="2" t="s">
        <v>17</v>
      </c>
      <c r="E85" s="2">
        <v>9.8293650793650791</v>
      </c>
      <c r="J85" t="str">
        <f t="shared" si="4"/>
        <v>JALLES MACHA</v>
      </c>
    </row>
    <row r="86" spans="1:10" x14ac:dyDescent="0.35">
      <c r="A86" s="2" t="s">
        <v>107</v>
      </c>
      <c r="B86" s="2" t="s">
        <v>161</v>
      </c>
      <c r="C86" s="2" t="s">
        <v>134</v>
      </c>
      <c r="D86" s="2" t="s">
        <v>10</v>
      </c>
      <c r="E86" s="2">
        <v>14.78968253968254</v>
      </c>
      <c r="J86" t="str">
        <f t="shared" si="4"/>
        <v xml:space="preserve">RUMO  MALHA </v>
      </c>
    </row>
    <row r="87" spans="1:10" x14ac:dyDescent="0.35">
      <c r="A87" s="2" t="s">
        <v>108</v>
      </c>
      <c r="B87" s="2" t="s">
        <v>189</v>
      </c>
      <c r="C87" s="2" t="s">
        <v>139</v>
      </c>
      <c r="D87" s="2" t="s">
        <v>5</v>
      </c>
      <c r="E87" s="2">
        <v>14.793650793650791</v>
      </c>
      <c r="J87" t="str">
        <f t="shared" si="4"/>
        <v xml:space="preserve">ENERGISA PB </v>
      </c>
    </row>
    <row r="88" spans="1:10" x14ac:dyDescent="0.35">
      <c r="A88" s="2" t="s">
        <v>109</v>
      </c>
      <c r="B88" s="2" t="s">
        <v>190</v>
      </c>
      <c r="C88" s="2" t="s">
        <v>132</v>
      </c>
      <c r="D88" s="2" t="s">
        <v>5</v>
      </c>
      <c r="E88" s="2">
        <v>6.916666666666667</v>
      </c>
      <c r="J88" t="str">
        <f t="shared" si="4"/>
        <v>CENTRAIS ELE</v>
      </c>
    </row>
    <row r="89" spans="1:10" x14ac:dyDescent="0.35">
      <c r="A89" s="2" t="s">
        <v>110</v>
      </c>
      <c r="B89" s="2" t="s">
        <v>13</v>
      </c>
      <c r="C89" s="2" t="s">
        <v>139</v>
      </c>
      <c r="D89" s="2" t="s">
        <v>5</v>
      </c>
      <c r="E89" s="2">
        <v>14.793650793650791</v>
      </c>
      <c r="J89" t="str">
        <f t="shared" si="4"/>
        <v>ENERGISA SA</v>
      </c>
    </row>
    <row r="90" spans="1:10" x14ac:dyDescent="0.35">
      <c r="A90" s="2" t="s">
        <v>111</v>
      </c>
      <c r="B90" s="2" t="s">
        <v>173</v>
      </c>
      <c r="C90" s="2" t="s">
        <v>141</v>
      </c>
      <c r="D90" s="2" t="s">
        <v>5</v>
      </c>
      <c r="E90" s="2">
        <v>9.8452380952380949</v>
      </c>
      <c r="J90" t="str">
        <f t="shared" si="4"/>
        <v>CEMIG DISTRI</v>
      </c>
    </row>
    <row r="91" spans="1:10" x14ac:dyDescent="0.35">
      <c r="A91" s="2" t="s">
        <v>112</v>
      </c>
      <c r="B91" s="2" t="s">
        <v>167</v>
      </c>
      <c r="C91" s="2" t="s">
        <v>139</v>
      </c>
      <c r="D91" s="2" t="s">
        <v>5</v>
      </c>
      <c r="E91" s="2">
        <v>6.9285714285714288</v>
      </c>
      <c r="J91" t="str">
        <f t="shared" si="4"/>
        <v>ENERGISA MAT</v>
      </c>
    </row>
    <row r="92" spans="1:10" x14ac:dyDescent="0.35">
      <c r="A92" s="2" t="s">
        <v>113</v>
      </c>
      <c r="B92" s="2" t="s">
        <v>179</v>
      </c>
      <c r="C92" s="2" t="s">
        <v>148</v>
      </c>
      <c r="D92" s="2" t="s">
        <v>17</v>
      </c>
      <c r="E92" s="2">
        <v>6.837301587301587</v>
      </c>
      <c r="J92" t="str">
        <f t="shared" si="4"/>
        <v>JALLES MACHA</v>
      </c>
    </row>
    <row r="93" spans="1:10" x14ac:dyDescent="0.35">
      <c r="A93" s="2" t="s">
        <v>114</v>
      </c>
      <c r="B93" s="2" t="s">
        <v>178</v>
      </c>
      <c r="C93" s="2" t="s">
        <v>147</v>
      </c>
      <c r="D93" s="2" t="s">
        <v>5</v>
      </c>
      <c r="E93" s="2">
        <v>7.833333333333333</v>
      </c>
      <c r="J93" t="str">
        <f t="shared" si="4"/>
        <v>EQTL MARANHA</v>
      </c>
    </row>
    <row r="94" spans="1:10" x14ac:dyDescent="0.35">
      <c r="A94" s="2" t="s">
        <v>115</v>
      </c>
      <c r="B94" s="2" t="s">
        <v>190</v>
      </c>
      <c r="C94" s="2" t="s">
        <v>132</v>
      </c>
      <c r="D94" s="2" t="s">
        <v>5</v>
      </c>
      <c r="E94" s="2">
        <v>7.9087301587301591</v>
      </c>
      <c r="J94" t="str">
        <f t="shared" si="4"/>
        <v>CENTRAIS ELE</v>
      </c>
    </row>
    <row r="95" spans="1:10" x14ac:dyDescent="0.35">
      <c r="A95" s="2" t="s">
        <v>116</v>
      </c>
      <c r="B95" s="2" t="s">
        <v>166</v>
      </c>
      <c r="C95" s="2" t="s">
        <v>140</v>
      </c>
      <c r="D95" s="2" t="s">
        <v>5</v>
      </c>
      <c r="E95" s="2">
        <v>14.78571428571429</v>
      </c>
      <c r="J95" t="str">
        <f t="shared" si="4"/>
        <v>TRANSMISSORA</v>
      </c>
    </row>
    <row r="96" spans="1:10" x14ac:dyDescent="0.35">
      <c r="A96" s="2" t="s">
        <v>117</v>
      </c>
      <c r="B96" s="2" t="s">
        <v>8</v>
      </c>
      <c r="C96" s="2" t="s">
        <v>133</v>
      </c>
      <c r="D96" s="2" t="s">
        <v>5</v>
      </c>
      <c r="E96" s="2">
        <v>6.912698412698413</v>
      </c>
      <c r="J96" t="str">
        <f t="shared" si="4"/>
        <v>ENEVA SA</v>
      </c>
    </row>
    <row r="97" spans="1:10" x14ac:dyDescent="0.35">
      <c r="A97" s="2" t="s">
        <v>118</v>
      </c>
      <c r="B97" s="2" t="s">
        <v>13</v>
      </c>
      <c r="C97" s="2" t="s">
        <v>139</v>
      </c>
      <c r="D97" s="2" t="s">
        <v>5</v>
      </c>
      <c r="E97" s="2">
        <v>9.8293650793650791</v>
      </c>
      <c r="J97" t="str">
        <f t="shared" si="4"/>
        <v>ENERGISA SA</v>
      </c>
    </row>
    <row r="98" spans="1:10" x14ac:dyDescent="0.35">
      <c r="A98" s="2" t="s">
        <v>119</v>
      </c>
      <c r="B98" s="2" t="s">
        <v>163</v>
      </c>
      <c r="C98" s="2" t="s">
        <v>137</v>
      </c>
      <c r="D98" s="2" t="s">
        <v>5</v>
      </c>
      <c r="E98" s="2">
        <v>14.86904761904762</v>
      </c>
      <c r="J98" t="str">
        <f t="shared" si="4"/>
        <v xml:space="preserve">ISA ENERGIA </v>
      </c>
    </row>
    <row r="99" spans="1:10" x14ac:dyDescent="0.35">
      <c r="A99" s="2" t="s">
        <v>120</v>
      </c>
      <c r="B99" s="2" t="s">
        <v>163</v>
      </c>
      <c r="C99" s="2" t="s">
        <v>137</v>
      </c>
      <c r="D99" s="2" t="s">
        <v>5</v>
      </c>
      <c r="E99" s="2">
        <v>9.9087301587301582</v>
      </c>
      <c r="J99" t="str">
        <f t="shared" si="4"/>
        <v xml:space="preserve">ISA ENERGIA </v>
      </c>
    </row>
    <row r="100" spans="1:10" x14ac:dyDescent="0.35">
      <c r="A100" s="2" t="s">
        <v>121</v>
      </c>
      <c r="B100" s="2" t="s">
        <v>185</v>
      </c>
      <c r="C100" s="2" t="s">
        <v>147</v>
      </c>
      <c r="D100" s="2" t="s">
        <v>5</v>
      </c>
      <c r="E100" s="2">
        <v>7.833333333333333</v>
      </c>
      <c r="J100" t="str">
        <f t="shared" si="4"/>
        <v>EQUATORIAL G</v>
      </c>
    </row>
    <row r="101" spans="1:10" x14ac:dyDescent="0.35">
      <c r="A101" s="2" t="s">
        <v>122</v>
      </c>
      <c r="B101" s="2" t="s">
        <v>185</v>
      </c>
      <c r="C101" s="2" t="s">
        <v>147</v>
      </c>
      <c r="D101" s="2" t="s">
        <v>5</v>
      </c>
      <c r="E101" s="2">
        <v>11.80952380952381</v>
      </c>
      <c r="J101" t="str">
        <f t="shared" si="4"/>
        <v>EQUATORIAL G</v>
      </c>
    </row>
    <row r="102" spans="1:10" x14ac:dyDescent="0.35">
      <c r="A102" s="2" t="s">
        <v>123</v>
      </c>
      <c r="B102" s="2" t="s">
        <v>22</v>
      </c>
      <c r="C102" s="2" t="s">
        <v>153</v>
      </c>
      <c r="D102" s="2" t="s">
        <v>23</v>
      </c>
      <c r="E102" s="2">
        <v>9.8293650793650791</v>
      </c>
      <c r="J102" t="str">
        <f t="shared" si="4"/>
        <v>SUZANO SA</v>
      </c>
    </row>
    <row r="103" spans="1:10" x14ac:dyDescent="0.35">
      <c r="A103" s="2" t="s">
        <v>124</v>
      </c>
      <c r="B103" s="2" t="s">
        <v>191</v>
      </c>
      <c r="C103" s="2" t="s">
        <v>141</v>
      </c>
      <c r="D103" s="2" t="s">
        <v>21</v>
      </c>
      <c r="E103" s="2">
        <v>10.484126984126981</v>
      </c>
      <c r="J103" t="str">
        <f t="shared" si="4"/>
        <v>CO DE GAS DE</v>
      </c>
    </row>
    <row r="104" spans="1:10" x14ac:dyDescent="0.35">
      <c r="A104" s="2" t="s">
        <v>125</v>
      </c>
      <c r="B104" s="2" t="s">
        <v>192</v>
      </c>
      <c r="C104" s="2" t="s">
        <v>154</v>
      </c>
      <c r="D104" s="2" t="s">
        <v>12</v>
      </c>
      <c r="E104" s="2">
        <v>7.5992063492063489</v>
      </c>
      <c r="J104" t="str">
        <f t="shared" si="4"/>
        <v>SERENA GERAC</v>
      </c>
    </row>
    <row r="105" spans="1:10" x14ac:dyDescent="0.35">
      <c r="A105" s="2" t="s">
        <v>126</v>
      </c>
      <c r="B105" s="2" t="s">
        <v>192</v>
      </c>
      <c r="C105" s="2" t="s">
        <v>154</v>
      </c>
      <c r="D105" s="2" t="s">
        <v>12</v>
      </c>
      <c r="E105" s="2">
        <v>7.5992063492063489</v>
      </c>
      <c r="J105" t="str">
        <f t="shared" si="4"/>
        <v>SERENA GERAC</v>
      </c>
    </row>
    <row r="106" spans="1:10" x14ac:dyDescent="0.35">
      <c r="A106" s="2" t="s">
        <v>127</v>
      </c>
      <c r="B106" s="2" t="s">
        <v>193</v>
      </c>
      <c r="C106" s="2" t="s">
        <v>150</v>
      </c>
      <c r="D106" s="2" t="s">
        <v>10</v>
      </c>
      <c r="E106" s="2">
        <v>11.238095238095241</v>
      </c>
      <c r="J106" t="str">
        <f t="shared" si="4"/>
        <v xml:space="preserve">CONTEINERES 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2025-12-09T17:29:20Z</dcterms:created>
  <dcterms:modified xsi:type="dcterms:W3CDTF">2026-04-04T10:40:38Z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